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5-Year Forecast" sheetId="2" state="visible" r:id="rId4"/>
    <sheet name="Location Scoring" sheetId="3" state="visible" r:id="rId5"/>
    <sheet name="New Location Analyzer" sheetId="4" state="visible" r:id="rId6"/>
    <sheet name="Scenario Plann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<sst xmlns="http://schemas.openxmlformats.org/spreadsheetml/2006/main" count="385" uniqueCount="295">
  <si>
    <t xml:space="preserve">QSR Franchise Portfolio — Financial Forecast Model | FY 2025–2029</t>
  </si>
  <si>
    <t xml:space="preserve">  Navigation: Dashboard (this tab)  |  5-Year Forecast  |  Location Scoring  |  New Location Analyzer  |  Scenario Planner</t>
  </si>
  <si>
    <t xml:space="preserve">PORTFOLIO SNAPSHOT — CURRENT YEAR (2025)</t>
  </si>
  <si>
    <t xml:space="preserve">Metric</t>
  </si>
  <si>
    <t xml:space="preserve">Little Caesars</t>
  </si>
  <si>
    <t xml:space="preserve">Arby's</t>
  </si>
  <si>
    <t xml:space="preserve">Wingstop</t>
  </si>
  <si>
    <t xml:space="preserve">Portfolio Total</t>
  </si>
  <si>
    <t xml:space="preserve">Trend</t>
  </si>
  <si>
    <t xml:space="preserve">vs. Prior Yr</t>
  </si>
  <si>
    <t xml:space="preserve">Locations</t>
  </si>
  <si>
    <t xml:space="preserve">—</t>
  </si>
  <si>
    <t xml:space="preserve">Avg Annual Revenue / Unit</t>
  </si>
  <si>
    <t xml:space="preserve">$720K</t>
  </si>
  <si>
    <t xml:space="preserve">$738K</t>
  </si>
  <si>
    <t xml:space="preserve">$968K</t>
  </si>
  <si>
    <t xml:space="preserve">$808K</t>
  </si>
  <si>
    <t xml:space="preserve">↑</t>
  </si>
  <si>
    <t xml:space="preserve">+4.2%</t>
  </si>
  <si>
    <t xml:space="preserve">Total Portfolio Revenue</t>
  </si>
  <si>
    <t xml:space="preserve">$2.88M</t>
  </si>
  <si>
    <t xml:space="preserve">$2.21M</t>
  </si>
  <si>
    <t xml:space="preserve">$2.90M</t>
  </si>
  <si>
    <t xml:space="preserve">$8.00M</t>
  </si>
  <si>
    <t xml:space="preserve">Blended Gross Margin</t>
  </si>
  <si>
    <t xml:space="preserve">40.5%</t>
  </si>
  <si>
    <t xml:space="preserve">38.0%</t>
  </si>
  <si>
    <t xml:space="preserve">39.2%</t>
  </si>
  <si>
    <t xml:space="preserve">39.4%</t>
  </si>
  <si>
    <t xml:space="preserve">→</t>
  </si>
  <si>
    <t xml:space="preserve">+0.3pp</t>
  </si>
  <si>
    <t xml:space="preserve">Portfolio EBITDA</t>
  </si>
  <si>
    <t xml:space="preserve">$820K</t>
  </si>
  <si>
    <t xml:space="preserve">$490K</t>
  </si>
  <si>
    <t xml:space="preserve">$703K</t>
  </si>
  <si>
    <t xml:space="preserve">$2.01M</t>
  </si>
  <si>
    <t xml:space="preserve">+5.1%</t>
  </si>
  <si>
    <t xml:space="preserve">Blended EBITDA Margin</t>
  </si>
  <si>
    <t xml:space="preserve">28.5%</t>
  </si>
  <si>
    <t xml:space="preserve">22.2%</t>
  </si>
  <si>
    <t xml:space="preserve">24.2%</t>
  </si>
  <si>
    <t xml:space="preserve">25.1%</t>
  </si>
  <si>
    <t xml:space="preserve">+0.7pp</t>
  </si>
  <si>
    <t xml:space="preserve">Avg Payback Period</t>
  </si>
  <si>
    <t xml:space="preserve">3.2 yr</t>
  </si>
  <si>
    <t xml:space="preserve">4.1 yr</t>
  </si>
  <si>
    <t xml:space="preserve">3.6 yr</t>
  </si>
  <si>
    <t xml:space="preserve">5-YEAR REVENUE FORECAST — PORTFOLIO TOTAL ($)</t>
  </si>
  <si>
    <t xml:space="preserve">Brand / Location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</si>
  <si>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</si>
  <si>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</si>
  <si>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</si>
  <si>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</si>
  <si>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</si>
  <si>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CAGR</t>
  </si>
  <si>
    <t xml:space="preserve">Total (5yr)</t>
  </si>
  <si>
    <t xml:space="preserve">Little Caesars (4 units)</t>
  </si>
  <si>
    <t xml:space="preserve">6.5%</t>
  </si>
  <si>
    <t xml:space="preserve">Arby's (3 units)</t>
  </si>
  <si>
    <t xml:space="preserve">3.0%</t>
  </si>
  <si>
    <t xml:space="preserve">Wingstop (3 units)</t>
  </si>
  <si>
    <t xml:space="preserve">8.0%</t>
  </si>
  <si>
    <t xml:space="preserve">5.7%</t>
  </si>
  <si>
    <t xml:space="preserve">GLOBAL FORECAST ASSUMPTIONS  (edit yellow cells — all tabs update)</t>
  </si>
  <si>
    <t xml:space="preserve">Little Caesars — Annual Revenue Growth</t>
  </si>
  <si>
    <t xml:space="preserve">  ← Summer/family + holiday seasonality driver</t>
  </si>
  <si>
    <t xml:space="preserve">Arby's — Annual Revenue Growth</t>
  </si>
  <si>
    <t xml:space="preserve">  ← Drive-thru consistency; modest same-store growth</t>
  </si>
  <si>
    <t xml:space="preserve">Wingstop — Annual Revenue Growth</t>
  </si>
  <si>
    <t xml:space="preserve">  ← NFL expansion, delivery platform growth</t>
  </si>
  <si>
    <t xml:space="preserve">Inflation Assumption (Cost Escalator)</t>
  </si>
  <si>
    <t xml:space="preserve">  ← Applied to rent, utilities, and fixed labor annually</t>
  </si>
  <si>
    <t xml:space="preserve">New Location Build-Out Cost</t>
  </si>
  <si>
    <t xml:space="preserve">  ← Avg per unit; used in payback/ROI calculations</t>
  </si>
  <si>
    <t xml:space="preserve">Target EBITDA Margin — Threshold</t>
  </si>
  <si>
    <t xml:space="preserve">  ← Min acceptable margin for new location Go/No-Go</t>
  </si>
  <si>
    <t xml:space="preserve">Discount Rate (for NPV calc)</t>
  </si>
  <si>
    <t xml:space="preserve">  ← Used in New Location Analyzer tab</t>
  </si>
  <si>
    <t xml:space="preserve">HOW TO USE THIS MODEL</t>
  </si>
  <si>
    <t xml:space="preserve">1  Dashboard</t>
  </si>
  <si>
    <t xml:space="preserve">Global assumptions + portfolio KPI snapshot. Edit yellow cells here first.</t>
  </si>
  <si>
    <t xml:space="preserve">2  5-Year Forecast</t>
  </si>
  <si>
    <t xml:space="preserve">Full revenue, EBITDA, and margin projection for all 10 locations across 5 years.</t>
  </si>
  <si>
    <t xml:space="preserve">3  Location Scoring</t>
  </si>
  <si>
    <t xml:space="preserve">Demographic + competitive scoring for each location. Drives revenue adjustments.</t>
  </si>
  <si>
    <t xml:space="preserve">4  New Location Analyzer</t>
  </si>
  <si>
    <t xml:space="preserve">Enter a proposed site's details. Model outputs break-even, ROI, payback, and Go/No-Go.</t>
  </si>
  <si>
    <t xml:space="preserve">5  Scenario Planner</t>
  </si>
  <si>
    <t xml:space="preserve">Toggle between Base, Upside, and Downside cases. See full P&amp;L impact across the portfolio.</t>
  </si>
  <si>
    <t xml:space="preserve">5-Year Financial Forecast — All Locations | Base Case</t>
  </si>
  <si>
    <t xml:space="preserve">  Revenue grows by brand growth rate (Dashboard B22:B24). Costs escalate by inflation rate (Dashboard B25). All figures USD.</t>
  </si>
  <si>
    <t xml:space="preserve">ANNUAL REVENUE FORECAST ($)</t>
  </si>
  <si>
    <t xml:space="preserve">Location</t>
  </si>
  <si>
    <t xml:space="preserve">Brand</t>
  </si>
  <si>
    <t xml:space="preserve">5-Yr Total</t>
  </si>
  <si>
    <t xml:space="preserve">Little Caesars Location 1</t>
  </si>
  <si>
    <t xml:space="preserve">LI</t>
  </si>
  <si>
    <t xml:space="preserve">Little Caesars Location 2</t>
  </si>
  <si>
    <t xml:space="preserve">Little Caesars Location 3</t>
  </si>
  <si>
    <t xml:space="preserve">Little Caesars Location 4</t>
  </si>
  <si>
    <t xml:space="preserve">Arby's Location 1</t>
  </si>
  <si>
    <t xml:space="preserve">AR</t>
  </si>
  <si>
    <t xml:space="preserve">Arby's Location 2</t>
  </si>
  <si>
    <t xml:space="preserve">Arby's Location 3</t>
  </si>
  <si>
    <t xml:space="preserve">Wingstop Location 1</t>
  </si>
  <si>
    <t xml:space="preserve">WI</t>
  </si>
  <si>
    <t xml:space="preserve">Wingstop Location 2</t>
  </si>
  <si>
    <t xml:space="preserve">Wingstop Location 3</t>
  </si>
  <si>
    <t xml:space="preserve">Little Caesars Subtotal</t>
  </si>
  <si>
    <t xml:space="preserve">Arby's Subtotal</t>
  </si>
  <si>
    <t xml:space="preserve">Wingstop Subtotal</t>
  </si>
  <si>
    <t xml:space="preserve">PORTFOLIO TOTAL</t>
  </si>
  <si>
    <t xml:space="preserve">EBITDA FORECAST ($) — Base Case Margins Applied</t>
  </si>
  <si>
    <t xml:space="preserve">Avg Margin</t>
  </si>
  <si>
    <t xml:space="preserve">5-Yr EBITDA</t>
  </si>
  <si>
    <t xml:space="preserve">Little Caesars EBITDA Subtotal</t>
  </si>
  <si>
    <t xml:space="preserve">Arby's EBITDA Subtotal</t>
  </si>
  <si>
    <t xml:space="preserve">Wingstop EBITDA Subtotal</t>
  </si>
  <si>
    <t xml:space="preserve">PORTFOLIO EBITDA TOTAL</t>
  </si>
  <si>
    <t xml:space="preserve">Location Scoring Matrix — Demographic &amp; Competitive Analysis</t>
  </si>
  <si>
    <t xml:space="preserve">  Each factor scored 1–10. Weighted score drives Revenue Adjustment % applied in 5-Year Forecast. Edit yellow cells.</t>
  </si>
  <si>
    <t xml:space="preserve">SCORING WEIGHTS (must sum to 100%)</t>
  </si>
  <si>
    <t xml:space="preserve">Factor</t>
  </si>
  <si>
    <t xml:space="preserve">Weight</t>
  </si>
  <si>
    <t xml:space="preserve">Notes</t>
  </si>
  <si>
    <t xml:space="preserve">Population Density</t>
  </si>
  <si>
    <t xml:space="preserve">  Higher density = larger addressable market</t>
  </si>
  <si>
    <t xml:space="preserve">Household Income (Avg)</t>
  </si>
  <si>
    <t xml:space="preserve">  Purchasing power drives ticket size &amp; frequency</t>
  </si>
  <si>
    <t xml:space="preserve">Foot Traffic Score</t>
  </si>
  <si>
    <t xml:space="preserve">  Direct driver of walk-in and impulse visits</t>
  </si>
  <si>
    <t xml:space="preserve">Competitor Proximity</t>
  </si>
  <si>
    <t xml:space="preserve">  Fewer nearby competitors = less revenue dilution</t>
  </si>
  <si>
    <t xml:space="preserve">Visibility / Signage</t>
  </si>
  <si>
    <t xml:space="preserve">  Road visibility and parking ease</t>
  </si>
  <si>
    <t xml:space="preserve">Brand Fit (Demo Match)</t>
  </si>
  <si>
    <t xml:space="preserve">  Brand's target customer vs. local demographic</t>
  </si>
  <si>
    <t xml:space="preserve">Weight Total (must = 100%)</t>
  </si>
  <si>
    <t xml:space="preserve">  ✓ Verify this equals 100% before using scores</t>
  </si>
  <si>
    <t xml:space="preserve">LOCATION SCORES (1=Low, 10=High) — Edit yellow cells</t>
  </si>
  <si>
    <t xml:space="preserve">Pop Density</t>
  </si>
  <si>
    <t xml:space="preserve">HH Income</t>
  </si>
  <si>
    <t xml:space="preserve">Foot Traffic</t>
  </si>
  <si>
    <t xml:space="preserve">Competition</t>
  </si>
  <si>
    <t xml:space="preserve">Visibility</t>
  </si>
  <si>
    <t xml:space="preserve">Brand Fit</t>
  </si>
  <si>
    <t xml:space="preserve">Wtd Score</t>
  </si>
  <si>
    <t xml:space="preserve">SCORE-TO-REVENUE ADJUSTMENT KEY</t>
  </si>
  <si>
    <t xml:space="preserve">Weighted Score Range</t>
  </si>
  <si>
    <t xml:space="preserve">Revenue Adjustment</t>
  </si>
  <si>
    <t xml:space="preserve">Interpretation</t>
  </si>
  <si>
    <t xml:space="preserve">8.5 – 10.0</t>
  </si>
  <si>
    <t xml:space="preserve">+10% to +15%</t>
  </si>
  <si>
    <t xml:space="preserve">  Exceptional site — premium revenue potential</t>
  </si>
  <si>
    <t xml:space="preserve">7.0 – 8.4</t>
  </si>
  <si>
    <t xml:space="preserve">+3% to +10%</t>
  </si>
  <si>
    <t xml:space="preserve">  Strong site — above-average revenue expected</t>
  </si>
  <si>
    <t xml:space="preserve">5.5 – 6.9</t>
  </si>
  <si>
    <t xml:space="preserve">Base (0%)</t>
  </si>
  <si>
    <t xml:space="preserve">  Average site — use base revenue assumptions</t>
  </si>
  <si>
    <t xml:space="preserve">4.0 – 5.4</t>
  </si>
  <si>
    <t xml:space="preserve">-5% to -10%</t>
  </si>
  <si>
    <t xml:space="preserve">  Below-average site — discount revenue expectations</t>
  </si>
  <si>
    <t xml:space="preserve">Below 4.0</t>
  </si>
  <si>
    <t xml:space="preserve">-15% or more</t>
  </si>
  <si>
    <t xml:space="preserve">  Weak site — consider alternative location</t>
  </si>
  <si>
    <t xml:space="preserve">New Location Viability Analyzer — Site Evaluation &amp; ROI</t>
  </si>
  <si>
    <t xml:space="preserve">  Enter proposed site details in yellow cells. Model outputs Go/No-Go, break-even, payback period, and 5-year NPV.</t>
  </si>
  <si>
    <t xml:space="preserve">PROPOSED SITE INPUTS</t>
  </si>
  <si>
    <t xml:space="preserve">  ← Select: Little Caesars, Arby's, or Wingstop</t>
  </si>
  <si>
    <t xml:space="preserve">Location Description</t>
  </si>
  <si>
    <t xml:space="preserve">Proposed Site A</t>
  </si>
  <si>
    <t xml:space="preserve">  ← Enter city/market description</t>
  </si>
  <si>
    <t xml:space="preserve">Projected Annual Revenue (Yr 1)</t>
  </si>
  <si>
    <t xml:space="preserve">  ← Based on comparable units + location score</t>
  </si>
  <si>
    <t xml:space="preserve">Buildout / Opening Cost ($)</t>
  </si>
  <si>
    <t xml:space="preserve">  ← Source: Dashboard assumption (edit to override)</t>
  </si>
  <si>
    <t xml:space="preserve">Monthly Rent ($)</t>
  </si>
  <si>
    <t xml:space="preserve">  ← Negotiated lease rate</t>
  </si>
  <si>
    <t xml:space="preserve">Food Cost (% of Revenue)</t>
  </si>
  <si>
    <t xml:space="preserve">  ← Use brand benchmark as starting point</t>
  </si>
  <si>
    <t xml:space="preserve">Labor Cost (% of Revenue)</t>
  </si>
  <si>
    <t xml:space="preserve">  ← Variable + fixed blended estimate</t>
  </si>
  <si>
    <t xml:space="preserve">Other Operating Costs (% of Rev)</t>
  </si>
  <si>
    <t xml:space="preserve">  ← Utilities, marketing, misc combined</t>
  </si>
  <si>
    <t xml:space="preserve">Annual Revenue Growth Rate (%)</t>
  </si>
  <si>
    <t xml:space="preserve">  ← Source: Dashboard brand growth assumption</t>
  </si>
  <si>
    <t xml:space="preserve">Location Score (from Scoring tab)</t>
  </si>
  <si>
    <t xml:space="preserve">  ← Pull from Location Scoring tab weighted score</t>
  </si>
  <si>
    <t xml:space="preserve">Discount Rate</t>
  </si>
  <si>
    <t xml:space="preserve">  ← Source: Dashboard assumption</t>
  </si>
  <si>
    <t xml:space="preserve">VIABILITY OUTPUTS — AUTO-CALCULATED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</si>
  <si>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</si>
  <si>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</si>
  <si>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</si>
  <si>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</si>
  <si>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</si>
  <si>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Projected Revenue</t>
  </si>
  <si>
    <t xml:space="preserve">COGS</t>
  </si>
  <si>
    <t xml:space="preserve">Gross Profit</t>
  </si>
  <si>
    <t xml:space="preserve">Labor</t>
  </si>
  <si>
    <t xml:space="preserve">Rent (Annual)</t>
  </si>
  <si>
    <t xml:space="preserve">Other Operating</t>
  </si>
  <si>
    <t xml:space="preserve">Total OpEx</t>
  </si>
  <si>
    <t xml:space="preserve">EBITDA</t>
  </si>
  <si>
    <t xml:space="preserve">EBITDA Margin %</t>
  </si>
  <si>
    <t xml:space="preserve">Cumulative Cash Flow</t>
  </si>
  <si>
    <t xml:space="preserve">SUMMARY DECISION METRICS</t>
  </si>
  <si>
    <t xml:space="preserve">Year 1 EBITDA</t>
  </si>
  <si>
    <t xml:space="preserve">  EBITDA generated in the first 12 months of operation</t>
  </si>
  <si>
    <t xml:space="preserve">Year 1 EBITDA Margin</t>
  </si>
  <si>
    <t xml:space="preserve">  First-year profitability as a % of revenue</t>
  </si>
  <si>
    <t xml:space="preserve">Break-Even Month (approx)</t>
  </si>
  <si>
    <t xml:space="preserve">  Approximate month when cumulative EBITDA covers buildout cost</t>
  </si>
  <si>
    <t xml:space="preserve">Payback Period (years)</t>
  </si>
  <si>
    <t xml:space="preserve">  Years to fully recover the buildout investment from EBITDA</t>
  </si>
  <si>
    <t xml:space="preserve">5-Year Cumulative EBITDA</t>
  </si>
  <si>
    <t xml:space="preserve">  Total EBITDA generated across the 5-year forecast window</t>
  </si>
  <si>
    <t xml:space="preserve">5-Yr NPV of EBITDA</t>
  </si>
  <si>
    <t xml:space="preserve">  Present value of 5-year EBITDA discounted at your hurdle rate, net of buildout</t>
  </si>
  <si>
    <t xml:space="preserve">Investment Multiple (MOIC)</t>
  </si>
  <si>
    <t xml:space="preserve">  Total EBITDA return per $1 of buildout invested</t>
  </si>
  <si>
    <t xml:space="preserve">GO / NO-GO</t>
  </si>
  <si>
    <t xml:space="preserve">  GO if Year 1 margin ≥ threshold and payback ≤ 5 years. REVIEW if borderline. NO-GO if below threshold.</t>
  </si>
  <si>
    <t xml:space="preserve">Scenario Planner — Base / Upside / Downside Analysis</t>
  </si>
  <si>
    <t xml:space="preserve">  Edit the yellow assumption cells for each scenario. See full P&amp;L and EBITDA impact across all 10 locations.</t>
  </si>
  <si>
    <t xml:space="preserve">SCENARIO ASSUMPTIONS — Edit Yellow Cells</t>
  </si>
  <si>
    <t xml:space="preserve">Assumption</t>
  </si>
  <si>
    <t xml:space="preserve">Base Case</t>
  </si>
  <si>
    <t xml:space="preserve">Upside Case</t>
  </si>
  <si>
    <t xml:space="preserve">Downside Case</t>
  </si>
  <si>
    <t xml:space="preserve">LC Revenue Growth (Annual)</t>
  </si>
  <si>
    <t xml:space="preserve">  Little Caesars YoY same-store growth</t>
  </si>
  <si>
    <t xml:space="preserve">Arby's Revenue Growth</t>
  </si>
  <si>
    <t xml:space="preserve">  Arby's YoY same-store growth</t>
  </si>
  <si>
    <t xml:space="preserve">Wingstop Revenue Growth</t>
  </si>
  <si>
    <t xml:space="preserve">  Wingstop YoY growth incl. delivery expansion</t>
  </si>
  <si>
    <t xml:space="preserve">Food Cost % (blended)</t>
  </si>
  <si>
    <t xml:space="preserve">  Portfolio average; Wingstop most volatile</t>
  </si>
  <si>
    <t xml:space="preserve">Labor Cost % (blended)</t>
  </si>
  <si>
    <t xml:space="preserve">  Reflects hiring environment + min wage changes</t>
  </si>
  <si>
    <t xml:space="preserve">Rent Escalation (annual)</t>
  </si>
  <si>
    <t xml:space="preserve">  Lease renewal exposure</t>
  </si>
  <si>
    <t xml:space="preserve">Utility Cost Inflation</t>
  </si>
  <si>
    <t xml:space="preserve">  Energy price sensitivity</t>
  </si>
  <si>
    <t xml:space="preserve">Marketing % of Revenue</t>
  </si>
  <si>
    <t xml:space="preserve">  Brand co-op + local spend</t>
  </si>
  <si>
    <t xml:space="preserve">New Location Opens (yr)</t>
  </si>
  <si>
    <t xml:space="preserve">  Planned expansion pace</t>
  </si>
  <si>
    <t xml:space="preserve">PORTFOLIO REVENUE FORECAST BY SCENARIO ($)</t>
  </si>
  <si>
    <t xml:space="preserve">Year</t>
  </si>
  <si>
    <t xml:space="preserve">Base Revenue</t>
  </si>
  <si>
    <t xml:space="preserve">Upside Revenue</t>
  </si>
  <si>
    <t xml:space="preserve">Downside Revenue</t>
  </si>
  <si>
    <t xml:space="preserve">Base EBITDA</t>
  </si>
  <si>
    <t xml:space="preserve">Downside EBITDA</t>
  </si>
  <si>
    <t xml:space="preserve">SENSITIVITY ANALYSIS — EBITDA IMPACT OF KEY LEVERS</t>
  </si>
  <si>
    <t xml:space="preserve">Lever</t>
  </si>
  <si>
    <t xml:space="preserve">Change</t>
  </si>
  <si>
    <t xml:space="preserve">EBITDA Impact (Yr 1 Est.)</t>
  </si>
  <si>
    <t xml:space="preserve">Direction</t>
  </si>
  <si>
    <t xml:space="preserve">Severity</t>
  </si>
  <si>
    <t xml:space="preserve">Action</t>
  </si>
  <si>
    <t xml:space="preserve">Revenue -5%</t>
  </si>
  <si>
    <t xml:space="preserve">-5% all brands</t>
  </si>
  <si>
    <t xml:space="preserve">($400K)</t>
  </si>
  <si>
    <t xml:space="preserve">▼</t>
  </si>
  <si>
    <t xml:space="preserve">HIGH</t>
  </si>
  <si>
    <t xml:space="preserve">Tighten marketing spend; review pricing</t>
  </si>
  <si>
    <t xml:space="preserve">Food Cost +2pp</t>
  </si>
  <si>
    <t xml:space="preserve">+2% blended</t>
  </si>
  <si>
    <t xml:space="preserve">($160K)</t>
  </si>
  <si>
    <t xml:space="preserve">Renegotiate supplier contracts</t>
  </si>
  <si>
    <t xml:space="preserve">Labor Cost +1pp</t>
  </si>
  <si>
    <t xml:space="preserve">+1% blended</t>
  </si>
  <si>
    <t xml:space="preserve">($80K)</t>
  </si>
  <si>
    <t xml:space="preserve">MED</t>
  </si>
  <si>
    <t xml:space="preserve">Optimize scheduling; reduce overtime</t>
  </si>
  <si>
    <t xml:space="preserve">Rent Escalation +10%</t>
  </si>
  <si>
    <t xml:space="preserve">+10% at renewal</t>
  </si>
  <si>
    <t xml:space="preserve">($65K)</t>
  </si>
  <si>
    <t xml:space="preserve">Lock multi-year leases before renewals</t>
  </si>
  <si>
    <t xml:space="preserve">Wingstop Rev +8%</t>
  </si>
  <si>
    <t xml:space="preserve">NFL season upside</t>
  </si>
  <si>
    <t xml:space="preserve">+$235K</t>
  </si>
  <si>
    <t xml:space="preserve">▲</t>
  </si>
  <si>
    <t xml:space="preserve">Capitalize on NFL promotions in Sep-Jan</t>
  </si>
  <si>
    <t xml:space="preserve">New Unit Opens (×2)</t>
  </si>
  <si>
    <t xml:space="preserve">Add 2 locations</t>
  </si>
  <si>
    <t xml:space="preserve">+$450K</t>
  </si>
  <si>
    <t xml:space="preserve">Prioritize high-score sites from Scoring tab</t>
  </si>
  <si>
    <t xml:space="preserve">Delivery Mix +5pp</t>
  </si>
  <si>
    <t xml:space="preserve">Channel shift</t>
  </si>
  <si>
    <t xml:space="preserve">+$120K</t>
  </si>
  <si>
    <t xml:space="preserve">Wingstop/LC focus; 3P platform optimization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</si>
</sst>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%"/>
    <numFmt numFmtId="167" formatCode="0"/>
    <numFmt numFmtId="168" formatCode="0.0"/>
    <numFmt numFmtId="169" formatCode="0.0&quot; mo&quot;"/>
    <numFmt numFmtId="170" formatCode="0.0\x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A7C2A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7B3F00"/>
      <name val="Arial"/>
      <family val="0"/>
      <charset val="1"/>
    </font>
    <font>
      <sz val="10"/>
      <color rgb="FFD354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9"/>
      <color rgb="FFD35400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D35400"/>
      <name val="Arial"/>
      <family val="0"/>
      <charset val="1"/>
    </font>
    <font>
      <i val="true"/>
      <sz val="9"/>
      <color rgb="FF1A7C2A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A7C2A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2"/>
      <color rgb="FF1A7C2A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BF3FB"/>
      </patternFill>
    </fill>
    <fill>
      <patternFill patternType="solid">
        <fgColor rgb="FF2E5FA3"/>
        <bgColor rgb="FF3366FF"/>
      </patternFill>
    </fill>
    <fill>
      <patternFill patternType="solid">
        <fgColor rgb="FFC0392B"/>
        <bgColor rgb="FFD35400"/>
      </patternFill>
    </fill>
    <fill>
      <patternFill patternType="solid">
        <fgColor rgb="FF7B3F00"/>
        <bgColor rgb="FF993366"/>
      </patternFill>
    </fill>
    <fill>
      <patternFill patternType="solid">
        <fgColor rgb="FFD35400"/>
        <bgColor rgb="FFC0392B"/>
      </patternFill>
    </fill>
    <fill>
      <patternFill patternType="solid">
        <fgColor rgb="FFEBF3FB"/>
        <bgColor rgb="FFE3F2FD"/>
      </patternFill>
    </fill>
    <fill>
      <patternFill patternType="solid">
        <fgColor rgb="FFFFC7CE"/>
        <bgColor rgb="FFFFEBEE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8F5E9"/>
      </patternFill>
    </fill>
    <fill>
      <patternFill patternType="solid">
        <fgColor rgb="FFD6E4F0"/>
        <bgColor rgb="FFE2EFDA"/>
      </patternFill>
    </fill>
    <fill>
      <patternFill patternType="solid">
        <fgColor rgb="FFE3F2FD"/>
        <bgColor rgb="FFEBF3FB"/>
      </patternFill>
    </fill>
    <fill>
      <patternFill patternType="solid">
        <fgColor rgb="FFE8F5E9"/>
        <bgColor rgb="FFEBF3FB"/>
      </patternFill>
    </fill>
    <fill>
      <patternFill patternType="solid">
        <fgColor rgb="FFFFEBEE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medium">
        <color rgb="FF2E5F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5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4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1A7C2A"/>
      <rgbColor rgb="FFE2EFDA"/>
      <rgbColor rgb="FF808080"/>
      <rgbColor rgb="FF9999FF"/>
      <rgbColor rgb="FFC0392B"/>
      <rgbColor rgb="FFF2F2F2"/>
      <rgbColor rgb="FFE3F2FD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6EFCE"/>
      <rgbColor rgb="FFFFEB9C"/>
      <rgbColor rgb="FFEBF3FB"/>
      <rgbColor rgb="FFFFEBEE"/>
      <rgbColor rgb="FFCC99FF"/>
      <rgbColor rgb="FFFFC7CE"/>
      <rgbColor rgb="FF3366FF"/>
      <rgbColor rgb="FF33CCCC"/>
      <rgbColor rgb="FF99CC00"/>
      <rgbColor rgb="FFFFCC00"/>
      <rgbColor rgb="FFFF9900"/>
      <rgbColor rgb="FFD35400"/>
      <rgbColor rgb="FF666666"/>
      <rgbColor rgb="FFAAAAAA"/>
      <rgbColor rgb="FF1F3864"/>
      <rgbColor rgb="FF339966"/>
      <rgbColor rgb="FF003300"/>
      <rgbColor rgb="FF333300"/>
      <rgbColor rgb="FF7B3F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8"/>
    <col collapsed="false" customWidth="true" hidden="false" outlineLevel="0" max="8" min="7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A5" s="5" t="s">
        <v>3</v>
      </c>
      <c r="B5" s="6" t="s">
        <v>4</v>
      </c>
      <c r="C5" s="7" t="s">
        <v>5</v>
      </c>
      <c r="D5" s="8" t="s">
        <v>6</v>
      </c>
      <c r="E5" s="9" t="s">
        <v>7</v>
      </c>
      <c r="F5" s="9"/>
      <c r="G5" s="9" t="s">
        <v>8</v>
      </c>
      <c r="H5" s="9" t="s">
        <v>9</v>
      </c>
    </row>
    <row r="6" customFormat="false" ht="16.5" hidden="false" customHeight="true" outlineLevel="0" collapsed="false">
      <c r="A6" s="10" t="s">
        <v>10</v>
      </c>
      <c r="B6" s="11" t="n">
        <v>4</v>
      </c>
      <c r="C6" s="11" t="n">
        <v>3</v>
      </c>
      <c r="D6" s="11" t="n">
        <v>3</v>
      </c>
      <c r="E6" s="11" t="n">
        <v>10</v>
      </c>
      <c r="F6" s="12"/>
      <c r="G6" s="13" t="s">
        <v>11</v>
      </c>
      <c r="H6" s="14" t="s">
        <v>11</v>
      </c>
    </row>
    <row r="7" customFormat="false" ht="16.5" hidden="false" customHeight="true" outlineLevel="0" collapsed="false">
      <c r="A7" s="15" t="s">
        <v>12</v>
      </c>
      <c r="B7" s="16" t="s">
        <v>13</v>
      </c>
      <c r="C7" s="16" t="s">
        <v>14</v>
      </c>
      <c r="D7" s="16" t="s">
        <v>15</v>
      </c>
      <c r="E7" s="16" t="s">
        <v>16</v>
      </c>
      <c r="F7" s="17"/>
      <c r="G7" s="18" t="s">
        <v>17</v>
      </c>
      <c r="H7" s="19" t="s">
        <v>18</v>
      </c>
    </row>
    <row r="8" customFormat="false" ht="16.5" hidden="false" customHeight="true" outlineLevel="0" collapsed="false">
      <c r="A8" s="10" t="s">
        <v>19</v>
      </c>
      <c r="B8" s="11" t="s">
        <v>20</v>
      </c>
      <c r="C8" s="11" t="s">
        <v>21</v>
      </c>
      <c r="D8" s="11" t="s">
        <v>22</v>
      </c>
      <c r="E8" s="11" t="s">
        <v>23</v>
      </c>
      <c r="F8" s="12"/>
      <c r="G8" s="18" t="s">
        <v>17</v>
      </c>
      <c r="H8" s="14" t="s">
        <v>18</v>
      </c>
    </row>
    <row r="9" customFormat="false" ht="16.5" hidden="false" customHeight="true" outlineLevel="0" collapsed="false">
      <c r="A9" s="15" t="s">
        <v>24</v>
      </c>
      <c r="B9" s="16" t="s">
        <v>25</v>
      </c>
      <c r="C9" s="16" t="s">
        <v>26</v>
      </c>
      <c r="D9" s="16" t="s">
        <v>27</v>
      </c>
      <c r="E9" s="16" t="s">
        <v>28</v>
      </c>
      <c r="F9" s="17"/>
      <c r="G9" s="20" t="s">
        <v>29</v>
      </c>
      <c r="H9" s="19" t="s">
        <v>30</v>
      </c>
    </row>
    <row r="10" customFormat="false" ht="16.5" hidden="false" customHeight="true" outlineLevel="0" collapsed="false">
      <c r="A10" s="10" t="s">
        <v>31</v>
      </c>
      <c r="B10" s="11" t="s">
        <v>32</v>
      </c>
      <c r="C10" s="11" t="s">
        <v>33</v>
      </c>
      <c r="D10" s="11" t="s">
        <v>34</v>
      </c>
      <c r="E10" s="11" t="s">
        <v>35</v>
      </c>
      <c r="F10" s="12"/>
      <c r="G10" s="18" t="s">
        <v>17</v>
      </c>
      <c r="H10" s="14" t="s">
        <v>36</v>
      </c>
    </row>
    <row r="11" customFormat="false" ht="16.5" hidden="false" customHeight="true" outlineLevel="0" collapsed="false">
      <c r="A11" s="15" t="s">
        <v>37</v>
      </c>
      <c r="B11" s="16" t="s">
        <v>38</v>
      </c>
      <c r="C11" s="16" t="s">
        <v>39</v>
      </c>
      <c r="D11" s="16" t="s">
        <v>40</v>
      </c>
      <c r="E11" s="16" t="s">
        <v>41</v>
      </c>
      <c r="F11" s="17"/>
      <c r="G11" s="18" t="s">
        <v>17</v>
      </c>
      <c r="H11" s="19" t="s">
        <v>42</v>
      </c>
    </row>
    <row r="12" customFormat="false" ht="16.5" hidden="false" customHeight="true" outlineLevel="0" collapsed="false">
      <c r="A12" s="10" t="s">
        <v>43</v>
      </c>
      <c r="B12" s="11" t="s">
        <v>44</v>
      </c>
      <c r="C12" s="11" t="s">
        <v>45</v>
      </c>
      <c r="D12" s="11" t="s">
        <v>46</v>
      </c>
      <c r="E12" s="11" t="s">
        <v>46</v>
      </c>
      <c r="F12" s="12"/>
      <c r="G12" s="20" t="s">
        <v>29</v>
      </c>
      <c r="H12" s="14" t="s">
        <v>11</v>
      </c>
    </row>
    <row r="13" customFormat="false" ht="7.5" hidden="false" customHeight="true" outlineLevel="0" collapsed="false"/>
    <row r="14" customFormat="false" ht="18" hidden="false" customHeight="true" outlineLevel="0" collapsed="false">
      <c r="A14" s="4" t="s">
        <v>47</v>
      </c>
      <c r="B14" s="4"/>
      <c r="C14" s="4"/>
      <c r="D14" s="4"/>
      <c r="E14" s="4"/>
      <c r="F14" s="4"/>
      <c r="G14" s="4"/>
      <c r="H14" s="4"/>
    </row>
    <row r="15" customFormat="false" ht="16.5" hidden="false" customHeight="true" outlineLevel="0" collapsed="false">
      <c r="A15" s="5" t="s">
        <v>48</v>
      </c>
      <c r="B15" s="9" t="s">
        <v>49</v>
      </c>
      <c r="C15" s="9" t="s">
        <v>50</v>
      </c>
      <c r="D15" s="9" t="s">
        <v>51</v>
      </c>
      <c r="E15" s="9" t="s">
        <v>52</v>
      </c>
      <c r="F15" s="9" t="s">
        <v>53</v>
      </c>
      <c r="G15" s="9" t="s">
        <v>54</v>
      </c>
      <c r="H15" s="9" t="s">
        <v>55</v>
      </c>
    </row>
    <row r="16" customFormat="false" ht="16.5" hidden="false" customHeight="true" outlineLevel="0" collapsed="false">
      <c r="A16" s="21" t="s">
        <v>56</v>
      </c>
      <c r="B16" s="22" t="n">
        <v>2880000</v>
      </c>
      <c r="C16" s="22" t="n">
        <v>3024000</v>
      </c>
      <c r="D16" s="22" t="n">
        <v>3175200</v>
      </c>
      <c r="E16" s="22" t="n">
        <v>3333960</v>
      </c>
      <c r="F16" s="22" t="n">
        <v>3500658</v>
      </c>
      <c r="G16" s="23" t="s">
        <v>57</v>
      </c>
      <c r="H16" s="24" t="n">
        <v>15913818</v>
      </c>
    </row>
    <row r="17" customFormat="false" ht="16.5" hidden="false" customHeight="true" outlineLevel="0" collapsed="false">
      <c r="A17" s="25" t="s">
        <v>58</v>
      </c>
      <c r="B17" s="26" t="n">
        <v>2214000</v>
      </c>
      <c r="C17" s="26" t="n">
        <v>2280420</v>
      </c>
      <c r="D17" s="26" t="n">
        <v>2348833</v>
      </c>
      <c r="E17" s="26" t="n">
        <v>2419298</v>
      </c>
      <c r="F17" s="26" t="n">
        <v>2491877</v>
      </c>
      <c r="G17" s="27" t="s">
        <v>59</v>
      </c>
      <c r="H17" s="28" t="n">
        <v>11754428</v>
      </c>
    </row>
    <row r="18" customFormat="false" ht="16.5" hidden="false" customHeight="true" outlineLevel="0" collapsed="false">
      <c r="A18" s="29" t="s">
        <v>60</v>
      </c>
      <c r="B18" s="22" t="n">
        <v>2904000</v>
      </c>
      <c r="C18" s="22" t="n">
        <v>3136320</v>
      </c>
      <c r="D18" s="22" t="n">
        <v>3387226</v>
      </c>
      <c r="E18" s="22" t="n">
        <v>3658204</v>
      </c>
      <c r="F18" s="22" t="n">
        <v>3950780</v>
      </c>
      <c r="G18" s="23" t="s">
        <v>61</v>
      </c>
      <c r="H18" s="24" t="n">
        <v>17036530</v>
      </c>
    </row>
    <row r="19" customFormat="false" ht="18.75" hidden="false" customHeight="true" outlineLevel="0" collapsed="false">
      <c r="A19" s="30" t="s">
        <v>7</v>
      </c>
      <c r="B19" s="31" t="n">
        <v>7998000</v>
      </c>
      <c r="C19" s="31" t="n">
        <v>8440740</v>
      </c>
      <c r="D19" s="31" t="n">
        <v>8911259</v>
      </c>
      <c r="E19" s="31" t="n">
        <v>9411462</v>
      </c>
      <c r="F19" s="31" t="n">
        <v>9943315</v>
      </c>
      <c r="G19" s="32" t="s">
        <v>62</v>
      </c>
      <c r="H19" s="31" t="n">
        <v>44704776</v>
      </c>
    </row>
    <row r="20" customFormat="false" ht="7.5" hidden="false" customHeight="true" outlineLevel="0" collapsed="false"/>
    <row r="21" customFormat="false" ht="18" hidden="false" customHeight="true" outlineLevel="0" collapsed="false">
      <c r="A21" s="4" t="s">
        <v>63</v>
      </c>
      <c r="B21" s="4"/>
      <c r="C21" s="4"/>
      <c r="D21" s="4"/>
      <c r="E21" s="4"/>
      <c r="F21" s="4"/>
      <c r="G21" s="4"/>
      <c r="H21" s="4"/>
    </row>
    <row r="22" customFormat="false" ht="16.5" hidden="false" customHeight="true" outlineLevel="0" collapsed="false">
      <c r="A22" s="33" t="s">
        <v>64</v>
      </c>
      <c r="B22" s="34" t="n">
        <v>0.05</v>
      </c>
      <c r="C22" s="35" t="s">
        <v>65</v>
      </c>
      <c r="D22" s="35"/>
      <c r="E22" s="35"/>
      <c r="F22" s="35"/>
      <c r="G22" s="35"/>
      <c r="H22" s="35"/>
    </row>
    <row r="23" customFormat="false" ht="16.5" hidden="false" customHeight="true" outlineLevel="0" collapsed="false">
      <c r="A23" s="36" t="s">
        <v>66</v>
      </c>
      <c r="B23" s="34" t="n">
        <v>0.03</v>
      </c>
      <c r="C23" s="37" t="s">
        <v>67</v>
      </c>
      <c r="D23" s="37"/>
      <c r="E23" s="37"/>
      <c r="F23" s="37"/>
      <c r="G23" s="37"/>
      <c r="H23" s="37"/>
    </row>
    <row r="24" customFormat="false" ht="16.5" hidden="false" customHeight="true" outlineLevel="0" collapsed="false">
      <c r="A24" s="33" t="s">
        <v>68</v>
      </c>
      <c r="B24" s="34" t="n">
        <v>0.08</v>
      </c>
      <c r="C24" s="35" t="s">
        <v>69</v>
      </c>
      <c r="D24" s="35"/>
      <c r="E24" s="35"/>
      <c r="F24" s="35"/>
      <c r="G24" s="35"/>
      <c r="H24" s="35"/>
    </row>
    <row r="25" customFormat="false" ht="16.5" hidden="false" customHeight="true" outlineLevel="0" collapsed="false">
      <c r="A25" s="36" t="s">
        <v>70</v>
      </c>
      <c r="B25" s="34" t="n">
        <v>0.03</v>
      </c>
      <c r="C25" s="37" t="s">
        <v>71</v>
      </c>
      <c r="D25" s="37"/>
      <c r="E25" s="37"/>
      <c r="F25" s="37"/>
      <c r="G25" s="37"/>
      <c r="H25" s="37"/>
    </row>
    <row r="26" customFormat="false" ht="16.5" hidden="false" customHeight="true" outlineLevel="0" collapsed="false">
      <c r="A26" s="33" t="s">
        <v>72</v>
      </c>
      <c r="B26" s="38" t="n">
        <v>450000</v>
      </c>
      <c r="C26" s="35" t="s">
        <v>73</v>
      </c>
      <c r="D26" s="35"/>
      <c r="E26" s="35"/>
      <c r="F26" s="35"/>
      <c r="G26" s="35"/>
      <c r="H26" s="35"/>
    </row>
    <row r="27" customFormat="false" ht="16.5" hidden="false" customHeight="true" outlineLevel="0" collapsed="false">
      <c r="A27" s="36" t="s">
        <v>74</v>
      </c>
      <c r="B27" s="34" t="n">
        <v>0.2</v>
      </c>
      <c r="C27" s="37" t="s">
        <v>75</v>
      </c>
      <c r="D27" s="37"/>
      <c r="E27" s="37"/>
      <c r="F27" s="37"/>
      <c r="G27" s="37"/>
      <c r="H27" s="37"/>
    </row>
    <row r="28" customFormat="false" ht="16.5" hidden="false" customHeight="true" outlineLevel="0" collapsed="false">
      <c r="A28" s="33" t="s">
        <v>76</v>
      </c>
      <c r="B28" s="34" t="n">
        <v>0.1</v>
      </c>
      <c r="C28" s="35" t="s">
        <v>77</v>
      </c>
      <c r="D28" s="35"/>
      <c r="E28" s="35"/>
      <c r="F28" s="35"/>
      <c r="G28" s="35"/>
      <c r="H28" s="35"/>
    </row>
    <row r="29" customFormat="false" ht="7.5" hidden="false" customHeight="true" outlineLevel="0" collapsed="false"/>
    <row r="30" customFormat="false" ht="18" hidden="false" customHeight="true" outlineLevel="0" collapsed="false">
      <c r="A30" s="4" t="s">
        <v>78</v>
      </c>
      <c r="B30" s="4"/>
      <c r="C30" s="4"/>
      <c r="D30" s="4"/>
      <c r="E30" s="4"/>
      <c r="F30" s="4"/>
      <c r="G30" s="4"/>
      <c r="H30" s="4"/>
    </row>
    <row r="31" customFormat="false" ht="16.5" hidden="false" customHeight="true" outlineLevel="0" collapsed="false">
      <c r="A31" s="10" t="s">
        <v>79</v>
      </c>
      <c r="B31" s="39" t="s">
        <v>80</v>
      </c>
      <c r="C31" s="39"/>
      <c r="D31" s="39"/>
      <c r="E31" s="39"/>
      <c r="F31" s="39"/>
      <c r="G31" s="39"/>
      <c r="H31" s="39"/>
    </row>
    <row r="32" customFormat="false" ht="16.5" hidden="false" customHeight="true" outlineLevel="0" collapsed="false">
      <c r="A32" s="15" t="s">
        <v>81</v>
      </c>
      <c r="B32" s="40" t="s">
        <v>82</v>
      </c>
      <c r="C32" s="40"/>
      <c r="D32" s="40"/>
      <c r="E32" s="40"/>
      <c r="F32" s="40"/>
      <c r="G32" s="40"/>
      <c r="H32" s="40"/>
    </row>
    <row r="33" customFormat="false" ht="16.5" hidden="false" customHeight="true" outlineLevel="0" collapsed="false">
      <c r="A33" s="10" t="s">
        <v>83</v>
      </c>
      <c r="B33" s="39" t="s">
        <v>84</v>
      </c>
      <c r="C33" s="39"/>
      <c r="D33" s="39"/>
      <c r="E33" s="39"/>
      <c r="F33" s="39"/>
      <c r="G33" s="39"/>
      <c r="H33" s="39"/>
    </row>
    <row r="34" customFormat="false" ht="16.5" hidden="false" customHeight="true" outlineLevel="0" collapsed="false">
      <c r="A34" s="15" t="s">
        <v>85</v>
      </c>
      <c r="B34" s="40" t="s">
        <v>86</v>
      </c>
      <c r="C34" s="40"/>
      <c r="D34" s="40"/>
      <c r="E34" s="40"/>
      <c r="F34" s="40"/>
      <c r="G34" s="40"/>
      <c r="H34" s="40"/>
    </row>
    <row r="35" customFormat="false" ht="16.5" hidden="false" customHeight="true" outlineLevel="0" collapsed="false">
      <c r="A35" s="10" t="s">
        <v>87</v>
      </c>
      <c r="B35" s="39" t="s">
        <v>88</v>
      </c>
      <c r="C35" s="39"/>
      <c r="D35" s="39"/>
      <c r="E35" s="39"/>
      <c r="F35" s="39"/>
      <c r="G35" s="39"/>
      <c r="H35" s="39"/>
    </row>
  </sheetData>
  <mergeCells count="18">
    <mergeCell ref="A1:H1"/>
    <mergeCell ref="A2:H2"/>
    <mergeCell ref="A4:H4"/>
    <mergeCell ref="A14:H14"/>
    <mergeCell ref="A21:H21"/>
    <mergeCell ref="C22:H22"/>
    <mergeCell ref="C23:H23"/>
    <mergeCell ref="C24:H24"/>
    <mergeCell ref="C25:H25"/>
    <mergeCell ref="C26:H26"/>
    <mergeCell ref="C27:H27"/>
    <mergeCell ref="C28:H28"/>
    <mergeCell ref="A30:H30"/>
    <mergeCell ref="B31:H31"/>
    <mergeCell ref="B32:H32"/>
    <mergeCell ref="B33:H33"/>
    <mergeCell ref="B34:H34"/>
    <mergeCell ref="B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8" min="3" style="1" width="13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1" t="s">
        <v>89</v>
      </c>
      <c r="B1" s="41"/>
      <c r="C1" s="41"/>
      <c r="D1" s="41"/>
      <c r="E1" s="41"/>
      <c r="F1" s="41"/>
      <c r="G1" s="41"/>
      <c r="H1" s="41"/>
      <c r="I1" s="41"/>
    </row>
    <row r="2" customFormat="false" ht="15" hidden="false" customHeight="true" outlineLevel="0" collapsed="false">
      <c r="A2" s="3" t="s">
        <v>90</v>
      </c>
      <c r="B2" s="3"/>
      <c r="C2" s="3"/>
      <c r="D2" s="3"/>
      <c r="E2" s="3"/>
      <c r="F2" s="3"/>
      <c r="G2" s="3"/>
      <c r="H2" s="3"/>
      <c r="I2" s="3"/>
    </row>
    <row r="3" customFormat="false" ht="7.5" hidden="false" customHeight="true" outlineLevel="0" collapsed="false"/>
    <row r="4" customFormat="false" ht="18" hidden="false" customHeight="true" outlineLevel="0" collapsed="false">
      <c r="A4" s="4" t="s">
        <v>91</v>
      </c>
      <c r="B4" s="4"/>
      <c r="C4" s="4"/>
      <c r="D4" s="4"/>
      <c r="E4" s="4"/>
      <c r="F4" s="4"/>
      <c r="G4" s="4"/>
      <c r="H4" s="4"/>
      <c r="I4" s="4"/>
    </row>
    <row r="5" customFormat="false" ht="16.5" hidden="false" customHeight="true" outlineLevel="0" collapsed="false">
      <c r="A5" s="5" t="s">
        <v>92</v>
      </c>
      <c r="B5" s="9" t="s">
        <v>93</v>
      </c>
      <c r="C5" s="9" t="s">
        <v>49</v>
      </c>
      <c r="D5" s="9" t="s">
        <v>50</v>
      </c>
      <c r="E5" s="9" t="s">
        <v>51</v>
      </c>
      <c r="F5" s="9" t="s">
        <v>52</v>
      </c>
      <c r="G5" s="9" t="s">
        <v>53</v>
      </c>
      <c r="H5" s="9" t="s">
        <v>54</v>
      </c>
      <c r="I5" s="9" t="s">
        <v>94</v>
      </c>
    </row>
    <row r="6" customFormat="false" ht="16.5" hidden="false" customHeight="true" outlineLevel="0" collapsed="false">
      <c r="A6" s="21" t="s">
        <v>95</v>
      </c>
      <c r="B6" s="42" t="s">
        <v>96</v>
      </c>
      <c r="C6" s="38" t="n">
        <v>720000</v>
      </c>
      <c r="D6" s="22" t="n">
        <f aca="false">C6*(1+Dashboard!$B$22)</f>
        <v>756000</v>
      </c>
      <c r="E6" s="22" t="n">
        <f aca="false">D6*(1+Dashboard!$B$22)</f>
        <v>793800</v>
      </c>
      <c r="F6" s="22" t="n">
        <f aca="false">E6*(1+Dashboard!$B$22)</f>
        <v>833490</v>
      </c>
      <c r="G6" s="22" t="n">
        <f aca="false">F6*(1+Dashboard!$B$22)</f>
        <v>875164.5</v>
      </c>
      <c r="H6" s="43" t="n">
        <f aca="false">IF(C6=0,0,(G6/C6)^(1/4)-1)</f>
        <v>0.05</v>
      </c>
      <c r="I6" s="44" t="n">
        <f aca="false">SUM(C6:G6)</f>
        <v>3978454.5</v>
      </c>
    </row>
    <row r="7" customFormat="false" ht="16.5" hidden="false" customHeight="true" outlineLevel="0" collapsed="false">
      <c r="A7" s="45" t="s">
        <v>97</v>
      </c>
      <c r="B7" s="46" t="s">
        <v>96</v>
      </c>
      <c r="C7" s="38" t="n">
        <v>756000</v>
      </c>
      <c r="D7" s="26" t="n">
        <f aca="false">C7*(1+Dashboard!$B$22)</f>
        <v>793800</v>
      </c>
      <c r="E7" s="26" t="n">
        <f aca="false">D7*(1+Dashboard!$B$22)</f>
        <v>833490</v>
      </c>
      <c r="F7" s="26" t="n">
        <f aca="false">E7*(1+Dashboard!$B$22)</f>
        <v>875164.5</v>
      </c>
      <c r="G7" s="26" t="n">
        <f aca="false">F7*(1+Dashboard!$B$22)</f>
        <v>918922.725</v>
      </c>
      <c r="H7" s="47" t="n">
        <f aca="false">IF(C7=0,0,(G7/C7)^(1/4)-1)</f>
        <v>0.05</v>
      </c>
      <c r="I7" s="44" t="n">
        <f aca="false">SUM(C7:G7)</f>
        <v>4177377.225</v>
      </c>
    </row>
    <row r="8" customFormat="false" ht="16.5" hidden="false" customHeight="true" outlineLevel="0" collapsed="false">
      <c r="A8" s="21" t="s">
        <v>98</v>
      </c>
      <c r="B8" s="42" t="s">
        <v>96</v>
      </c>
      <c r="C8" s="38" t="n">
        <v>696000</v>
      </c>
      <c r="D8" s="22" t="n">
        <f aca="false">C8*(1+Dashboard!$B$22)</f>
        <v>730800</v>
      </c>
      <c r="E8" s="22" t="n">
        <f aca="false">D8*(1+Dashboard!$B$22)</f>
        <v>767340</v>
      </c>
      <c r="F8" s="22" t="n">
        <f aca="false">E8*(1+Dashboard!$B$22)</f>
        <v>805707</v>
      </c>
      <c r="G8" s="22" t="n">
        <f aca="false">F8*(1+Dashboard!$B$22)</f>
        <v>845992.35</v>
      </c>
      <c r="H8" s="43" t="n">
        <f aca="false">IF(C8=0,0,(G8/C8)^(1/4)-1)</f>
        <v>0.05</v>
      </c>
      <c r="I8" s="44" t="n">
        <f aca="false">SUM(C8:G8)</f>
        <v>3845839.35</v>
      </c>
    </row>
    <row r="9" customFormat="false" ht="16.5" hidden="false" customHeight="true" outlineLevel="0" collapsed="false">
      <c r="A9" s="45" t="s">
        <v>99</v>
      </c>
      <c r="B9" s="46" t="s">
        <v>96</v>
      </c>
      <c r="C9" s="38" t="n">
        <v>744000</v>
      </c>
      <c r="D9" s="26" t="n">
        <f aca="false">C9*(1+Dashboard!$B$22)</f>
        <v>781200</v>
      </c>
      <c r="E9" s="26" t="n">
        <f aca="false">D9*(1+Dashboard!$B$22)</f>
        <v>820260</v>
      </c>
      <c r="F9" s="26" t="n">
        <f aca="false">E9*(1+Dashboard!$B$22)</f>
        <v>861273</v>
      </c>
      <c r="G9" s="26" t="n">
        <f aca="false">F9*(1+Dashboard!$B$22)</f>
        <v>904336.65</v>
      </c>
      <c r="H9" s="47" t="n">
        <f aca="false">IF(C9=0,0,(G9/C9)^(1/4)-1)</f>
        <v>0.05</v>
      </c>
      <c r="I9" s="44" t="n">
        <f aca="false">SUM(C9:G9)</f>
        <v>4111069.65</v>
      </c>
    </row>
    <row r="10" customFormat="false" ht="16.5" hidden="false" customHeight="true" outlineLevel="0" collapsed="false">
      <c r="A10" s="48" t="s">
        <v>100</v>
      </c>
      <c r="B10" s="49" t="s">
        <v>101</v>
      </c>
      <c r="C10" s="38" t="n">
        <v>900000</v>
      </c>
      <c r="D10" s="22" t="n">
        <f aca="false">C10*(1+Dashboard!$B$23)</f>
        <v>927000</v>
      </c>
      <c r="E10" s="22" t="n">
        <f aca="false">D10*(1+Dashboard!$B$23)</f>
        <v>954810</v>
      </c>
      <c r="F10" s="22" t="n">
        <f aca="false">E10*(1+Dashboard!$B$23)</f>
        <v>983454.3</v>
      </c>
      <c r="G10" s="22" t="n">
        <f aca="false">F10*(1+Dashboard!$B$23)</f>
        <v>1012957.929</v>
      </c>
      <c r="H10" s="43" t="n">
        <f aca="false">IF(C10=0,0,(G10/C10)^(1/4)-1)</f>
        <v>0.03</v>
      </c>
      <c r="I10" s="44" t="n">
        <f aca="false">SUM(C10:G10)</f>
        <v>4778222.229</v>
      </c>
    </row>
    <row r="11" customFormat="false" ht="16.5" hidden="false" customHeight="true" outlineLevel="0" collapsed="false">
      <c r="A11" s="25" t="s">
        <v>102</v>
      </c>
      <c r="B11" s="50" t="s">
        <v>101</v>
      </c>
      <c r="C11" s="38" t="n">
        <v>864000</v>
      </c>
      <c r="D11" s="26" t="n">
        <f aca="false">C11*(1+Dashboard!$B$23)</f>
        <v>889920</v>
      </c>
      <c r="E11" s="26" t="n">
        <f aca="false">D11*(1+Dashboard!$B$23)</f>
        <v>916617.6</v>
      </c>
      <c r="F11" s="26" t="n">
        <f aca="false">E11*(1+Dashboard!$B$23)</f>
        <v>944116.128</v>
      </c>
      <c r="G11" s="26" t="n">
        <f aca="false">F11*(1+Dashboard!$B$23)</f>
        <v>972439.61184</v>
      </c>
      <c r="H11" s="47" t="n">
        <f aca="false">IF(C11=0,0,(G11/C11)^(1/4)-1)</f>
        <v>0.03</v>
      </c>
      <c r="I11" s="44" t="n">
        <f aca="false">SUM(C11:G11)</f>
        <v>4587093.33984</v>
      </c>
    </row>
    <row r="12" customFormat="false" ht="16.5" hidden="false" customHeight="true" outlineLevel="0" collapsed="false">
      <c r="A12" s="48" t="s">
        <v>103</v>
      </c>
      <c r="B12" s="49" t="s">
        <v>101</v>
      </c>
      <c r="C12" s="38" t="n">
        <v>888000</v>
      </c>
      <c r="D12" s="22" t="n">
        <f aca="false">C12*(1+Dashboard!$B$23)</f>
        <v>914640</v>
      </c>
      <c r="E12" s="22" t="n">
        <f aca="false">D12*(1+Dashboard!$B$23)</f>
        <v>942079.2</v>
      </c>
      <c r="F12" s="22" t="n">
        <f aca="false">E12*(1+Dashboard!$B$23)</f>
        <v>970341.576</v>
      </c>
      <c r="G12" s="22" t="n">
        <f aca="false">F12*(1+Dashboard!$B$23)</f>
        <v>999451.82328</v>
      </c>
      <c r="H12" s="43" t="n">
        <f aca="false">IF(C12=0,0,(G12/C12)^(1/4)-1)</f>
        <v>0.03</v>
      </c>
      <c r="I12" s="44" t="n">
        <f aca="false">SUM(C12:G12)</f>
        <v>4714512.59928</v>
      </c>
    </row>
    <row r="13" customFormat="false" ht="16.5" hidden="false" customHeight="true" outlineLevel="0" collapsed="false">
      <c r="A13" s="51" t="s">
        <v>104</v>
      </c>
      <c r="B13" s="52" t="s">
        <v>105</v>
      </c>
      <c r="C13" s="38" t="n">
        <v>984000</v>
      </c>
      <c r="D13" s="26" t="n">
        <f aca="false">C13*(1+Dashboard!$B$24)</f>
        <v>1062720</v>
      </c>
      <c r="E13" s="26" t="n">
        <f aca="false">D13*(1+Dashboard!$B$24)</f>
        <v>1147737.6</v>
      </c>
      <c r="F13" s="26" t="n">
        <f aca="false">E13*(1+Dashboard!$B$24)</f>
        <v>1239556.608</v>
      </c>
      <c r="G13" s="26" t="n">
        <f aca="false">F13*(1+Dashboard!$B$24)</f>
        <v>1338721.13664</v>
      </c>
      <c r="H13" s="47" t="n">
        <f aca="false">IF(C13=0,0,(G13/C13)^(1/4)-1)</f>
        <v>0.0800000000000001</v>
      </c>
      <c r="I13" s="44" t="n">
        <f aca="false">SUM(C13:G13)</f>
        <v>5772735.34464</v>
      </c>
    </row>
    <row r="14" customFormat="false" ht="16.5" hidden="false" customHeight="true" outlineLevel="0" collapsed="false">
      <c r="A14" s="29" t="s">
        <v>106</v>
      </c>
      <c r="B14" s="53" t="s">
        <v>105</v>
      </c>
      <c r="C14" s="38" t="n">
        <v>960000</v>
      </c>
      <c r="D14" s="22" t="n">
        <f aca="false">C14*(1+Dashboard!$B$24)</f>
        <v>1036800</v>
      </c>
      <c r="E14" s="22" t="n">
        <f aca="false">D14*(1+Dashboard!$B$24)</f>
        <v>1119744</v>
      </c>
      <c r="F14" s="22" t="n">
        <f aca="false">E14*(1+Dashboard!$B$24)</f>
        <v>1209323.52</v>
      </c>
      <c r="G14" s="22" t="n">
        <f aca="false">F14*(1+Dashboard!$B$24)</f>
        <v>1306069.4016</v>
      </c>
      <c r="H14" s="43" t="n">
        <f aca="false">IF(C14=0,0,(G14/C14)^(1/4)-1)</f>
        <v>0.0800000000000001</v>
      </c>
      <c r="I14" s="44" t="n">
        <f aca="false">SUM(C14:G14)</f>
        <v>5631936.9216</v>
      </c>
    </row>
    <row r="15" customFormat="false" ht="16.5" hidden="false" customHeight="true" outlineLevel="0" collapsed="false">
      <c r="A15" s="51" t="s">
        <v>107</v>
      </c>
      <c r="B15" s="52" t="s">
        <v>105</v>
      </c>
      <c r="C15" s="38" t="n">
        <v>984000</v>
      </c>
      <c r="D15" s="26" t="n">
        <f aca="false">C15*(1+Dashboard!$B$24)</f>
        <v>1062720</v>
      </c>
      <c r="E15" s="26" t="n">
        <f aca="false">D15*(1+Dashboard!$B$24)</f>
        <v>1147737.6</v>
      </c>
      <c r="F15" s="26" t="n">
        <f aca="false">E15*(1+Dashboard!$B$24)</f>
        <v>1239556.608</v>
      </c>
      <c r="G15" s="26" t="n">
        <f aca="false">F15*(1+Dashboard!$B$24)</f>
        <v>1338721.13664</v>
      </c>
      <c r="H15" s="47" t="n">
        <f aca="false">IF(C15=0,0,(G15/C15)^(1/4)-1)</f>
        <v>0.0800000000000001</v>
      </c>
      <c r="I15" s="44" t="n">
        <f aca="false">SUM(C15:G15)</f>
        <v>5772735.34464</v>
      </c>
    </row>
    <row r="16" customFormat="false" ht="18" hidden="false" customHeight="true" outlineLevel="0" collapsed="false">
      <c r="A16" s="54" t="s">
        <v>108</v>
      </c>
      <c r="B16" s="55"/>
      <c r="C16" s="56" t="n">
        <f aca="false">C6+C7+C8+C9</f>
        <v>2916000</v>
      </c>
      <c r="D16" s="56" t="n">
        <f aca="false">D6+D7+D8+D9</f>
        <v>3061800</v>
      </c>
      <c r="E16" s="56" t="n">
        <f aca="false">E6+E7+E8+E9</f>
        <v>3214890</v>
      </c>
      <c r="F16" s="56" t="n">
        <f aca="false">F6+F7+F8+F9</f>
        <v>3375634.5</v>
      </c>
      <c r="G16" s="56" t="n">
        <f aca="false">G6+G7+G8+G9</f>
        <v>3544416.225</v>
      </c>
      <c r="H16" s="57" t="n">
        <f aca="false">IF(C16=0,0,(G16/C16)^(1/4)-1)</f>
        <v>0.05</v>
      </c>
      <c r="I16" s="56" t="n">
        <f aca="false">SUM(C16:G16)</f>
        <v>16112740.725</v>
      </c>
    </row>
    <row r="17" customFormat="false" ht="18" hidden="false" customHeight="true" outlineLevel="0" collapsed="false">
      <c r="A17" s="58" t="s">
        <v>109</v>
      </c>
      <c r="B17" s="55"/>
      <c r="C17" s="59" t="n">
        <f aca="false">C10+C11+C12</f>
        <v>2652000</v>
      </c>
      <c r="D17" s="59" t="n">
        <f aca="false">D10+D11+D12</f>
        <v>2731560</v>
      </c>
      <c r="E17" s="59" t="n">
        <f aca="false">E10+E11+E12</f>
        <v>2813506.8</v>
      </c>
      <c r="F17" s="59" t="n">
        <f aca="false">F10+F11+F12</f>
        <v>2897912.004</v>
      </c>
      <c r="G17" s="59" t="n">
        <f aca="false">G10+G11+G12</f>
        <v>2984849.36412</v>
      </c>
      <c r="H17" s="60" t="n">
        <f aca="false">IF(C17=0,0,(G17/C17)^(1/4)-1)</f>
        <v>0.03</v>
      </c>
      <c r="I17" s="59" t="n">
        <f aca="false">SUM(C17:G17)</f>
        <v>14079828.16812</v>
      </c>
    </row>
    <row r="18" customFormat="false" ht="18" hidden="false" customHeight="true" outlineLevel="0" collapsed="false">
      <c r="A18" s="61" t="s">
        <v>110</v>
      </c>
      <c r="B18" s="55"/>
      <c r="C18" s="62" t="n">
        <f aca="false">C13+C14+C15</f>
        <v>2928000</v>
      </c>
      <c r="D18" s="62" t="n">
        <f aca="false">D13+D14+D15</f>
        <v>3162240</v>
      </c>
      <c r="E18" s="62" t="n">
        <f aca="false">E13+E14+E15</f>
        <v>3415219.2</v>
      </c>
      <c r="F18" s="62" t="n">
        <f aca="false">F13+F14+F15</f>
        <v>3688436.736</v>
      </c>
      <c r="G18" s="62" t="n">
        <f aca="false">G13+G14+G15</f>
        <v>3983511.67488</v>
      </c>
      <c r="H18" s="63" t="n">
        <f aca="false">IF(C18=0,0,(G18/C18)^(1/4)-1)</f>
        <v>0.0800000000000001</v>
      </c>
      <c r="I18" s="62" t="n">
        <f aca="false">SUM(C18:G18)</f>
        <v>17177407.61088</v>
      </c>
    </row>
    <row r="19" customFormat="false" ht="19.5" hidden="false" customHeight="true" outlineLevel="0" collapsed="false">
      <c r="A19" s="30" t="s">
        <v>111</v>
      </c>
      <c r="B19" s="64"/>
      <c r="C19" s="31" t="n">
        <f aca="false">C16+C17+C18</f>
        <v>8496000</v>
      </c>
      <c r="D19" s="31" t="n">
        <f aca="false">D16+D17+D18</f>
        <v>8955600</v>
      </c>
      <c r="E19" s="31" t="n">
        <f aca="false">E16+E17+E18</f>
        <v>9443616</v>
      </c>
      <c r="F19" s="31" t="n">
        <f aca="false">F16+F17+F18</f>
        <v>9961983.24</v>
      </c>
      <c r="G19" s="31" t="n">
        <f aca="false">G16+G17+G18</f>
        <v>10512777.264</v>
      </c>
      <c r="H19" s="65" t="n">
        <f aca="false">IF(C19=0,0,(G19/C19)^(1/4)-1)</f>
        <v>0.0546922136919483</v>
      </c>
      <c r="I19" s="31" t="n">
        <f aca="false">SUM(C19:G19)</f>
        <v>47369976.504</v>
      </c>
    </row>
    <row r="20" customFormat="false" ht="7.5" hidden="false" customHeight="true" outlineLevel="0" collapsed="false"/>
    <row r="21" customFormat="false" ht="18" hidden="false" customHeight="true" outlineLevel="0" collapsed="false">
      <c r="A21" s="4" t="s">
        <v>112</v>
      </c>
      <c r="B21" s="4"/>
      <c r="C21" s="4"/>
      <c r="D21" s="4"/>
      <c r="E21" s="4"/>
      <c r="F21" s="4"/>
      <c r="G21" s="4"/>
      <c r="H21" s="4"/>
      <c r="I21" s="4"/>
    </row>
    <row r="22" customFormat="false" ht="16.5" hidden="false" customHeight="true" outlineLevel="0" collapsed="false">
      <c r="A22" s="5" t="s">
        <v>92</v>
      </c>
      <c r="B22" s="9" t="s">
        <v>93</v>
      </c>
      <c r="C22" s="9" t="s">
        <v>49</v>
      </c>
      <c r="D22" s="9" t="s">
        <v>50</v>
      </c>
      <c r="E22" s="9" t="s">
        <v>51</v>
      </c>
      <c r="F22" s="9" t="s">
        <v>52</v>
      </c>
      <c r="G22" s="9" t="s">
        <v>53</v>
      </c>
      <c r="H22" s="9" t="s">
        <v>113</v>
      </c>
      <c r="I22" s="9" t="s">
        <v>114</v>
      </c>
    </row>
    <row r="23" customFormat="false" ht="16.5" hidden="false" customHeight="true" outlineLevel="0" collapsed="false">
      <c r="A23" s="21" t="s">
        <v>95</v>
      </c>
      <c r="B23" s="42" t="s">
        <v>96</v>
      </c>
      <c r="C23" s="22" t="n">
        <f aca="false">C6*0.285</f>
        <v>205200</v>
      </c>
      <c r="D23" s="22" t="n">
        <f aca="false">D6*0.29</f>
        <v>219240</v>
      </c>
      <c r="E23" s="22" t="n">
        <f aca="false">E6*0.295</f>
        <v>234171</v>
      </c>
      <c r="F23" s="22" t="n">
        <f aca="false">F6*0.298</f>
        <v>248380.02</v>
      </c>
      <c r="G23" s="22" t="n">
        <f aca="false">G6*0.3</f>
        <v>262549.35</v>
      </c>
      <c r="H23" s="43" t="n">
        <f aca="false">AVERAGE(C23:G23)/AVERAGE(C6:G6)</f>
        <v>0.293968517171681</v>
      </c>
      <c r="I23" s="44" t="n">
        <f aca="false">SUM(C23:G23)</f>
        <v>1169540.37</v>
      </c>
    </row>
    <row r="24" customFormat="false" ht="16.5" hidden="false" customHeight="true" outlineLevel="0" collapsed="false">
      <c r="A24" s="45" t="s">
        <v>97</v>
      </c>
      <c r="B24" s="46" t="s">
        <v>96</v>
      </c>
      <c r="C24" s="26" t="n">
        <f aca="false">C7*0.285</f>
        <v>215460</v>
      </c>
      <c r="D24" s="26" t="n">
        <f aca="false">D7*0.29</f>
        <v>230202</v>
      </c>
      <c r="E24" s="26" t="n">
        <f aca="false">E7*0.295</f>
        <v>245879.55</v>
      </c>
      <c r="F24" s="26" t="n">
        <f aca="false">F7*0.298</f>
        <v>260799.021</v>
      </c>
      <c r="G24" s="26" t="n">
        <f aca="false">G7*0.3</f>
        <v>275676.8175</v>
      </c>
      <c r="H24" s="47" t="n">
        <f aca="false">AVERAGE(C24:G24)/AVERAGE(C7:G7)</f>
        <v>0.293968517171681</v>
      </c>
      <c r="I24" s="44" t="n">
        <f aca="false">SUM(C24:G24)</f>
        <v>1228017.3885</v>
      </c>
    </row>
    <row r="25" customFormat="false" ht="16.5" hidden="false" customHeight="true" outlineLevel="0" collapsed="false">
      <c r="A25" s="21" t="s">
        <v>98</v>
      </c>
      <c r="B25" s="42" t="s">
        <v>96</v>
      </c>
      <c r="C25" s="22" t="n">
        <f aca="false">C8*0.285</f>
        <v>198360</v>
      </c>
      <c r="D25" s="22" t="n">
        <f aca="false">D8*0.29</f>
        <v>211932</v>
      </c>
      <c r="E25" s="22" t="n">
        <f aca="false">E8*0.295</f>
        <v>226365.3</v>
      </c>
      <c r="F25" s="22" t="n">
        <f aca="false">F8*0.298</f>
        <v>240100.686</v>
      </c>
      <c r="G25" s="22" t="n">
        <f aca="false">G8*0.3</f>
        <v>253797.705</v>
      </c>
      <c r="H25" s="43" t="n">
        <f aca="false">AVERAGE(C25:G25)/AVERAGE(C8:G8)</f>
        <v>0.293968517171681</v>
      </c>
      <c r="I25" s="44" t="n">
        <f aca="false">SUM(C25:G25)</f>
        <v>1130555.691</v>
      </c>
    </row>
    <row r="26" customFormat="false" ht="16.5" hidden="false" customHeight="true" outlineLevel="0" collapsed="false">
      <c r="A26" s="45" t="s">
        <v>99</v>
      </c>
      <c r="B26" s="46" t="s">
        <v>96</v>
      </c>
      <c r="C26" s="26" t="n">
        <f aca="false">C9*0.285</f>
        <v>212040</v>
      </c>
      <c r="D26" s="26" t="n">
        <f aca="false">D9*0.29</f>
        <v>226548</v>
      </c>
      <c r="E26" s="26" t="n">
        <f aca="false">E9*0.295</f>
        <v>241976.7</v>
      </c>
      <c r="F26" s="26" t="n">
        <f aca="false">F9*0.298</f>
        <v>256659.354</v>
      </c>
      <c r="G26" s="26" t="n">
        <f aca="false">G9*0.3</f>
        <v>271300.995</v>
      </c>
      <c r="H26" s="47" t="n">
        <f aca="false">AVERAGE(C26:G26)/AVERAGE(C9:G9)</f>
        <v>0.293968517171681</v>
      </c>
      <c r="I26" s="44" t="n">
        <f aca="false">SUM(C26:G26)</f>
        <v>1208525.049</v>
      </c>
    </row>
    <row r="27" customFormat="false" ht="16.5" hidden="false" customHeight="true" outlineLevel="0" collapsed="false">
      <c r="A27" s="48" t="s">
        <v>100</v>
      </c>
      <c r="B27" s="49" t="s">
        <v>101</v>
      </c>
      <c r="C27" s="22" t="n">
        <f aca="false">C10*0.222</f>
        <v>199800</v>
      </c>
      <c r="D27" s="22" t="n">
        <f aca="false">D10*0.225</f>
        <v>208575</v>
      </c>
      <c r="E27" s="22" t="n">
        <f aca="false">E10*0.228</f>
        <v>217696.68</v>
      </c>
      <c r="F27" s="22" t="n">
        <f aca="false">F10*0.23</f>
        <v>226194.489</v>
      </c>
      <c r="G27" s="22" t="n">
        <f aca="false">G10*0.232</f>
        <v>235006.239528</v>
      </c>
      <c r="H27" s="43" t="n">
        <f aca="false">AVERAGE(C27:G27)/AVERAGE(C10:G10)</f>
        <v>0.227547476115515</v>
      </c>
      <c r="I27" s="44" t="n">
        <f aca="false">SUM(C27:G27)</f>
        <v>1087272.408528</v>
      </c>
    </row>
    <row r="28" customFormat="false" ht="16.5" hidden="false" customHeight="true" outlineLevel="0" collapsed="false">
      <c r="A28" s="25" t="s">
        <v>102</v>
      </c>
      <c r="B28" s="50" t="s">
        <v>101</v>
      </c>
      <c r="C28" s="26" t="n">
        <f aca="false">C11*0.222</f>
        <v>191808</v>
      </c>
      <c r="D28" s="26" t="n">
        <f aca="false">D11*0.225</f>
        <v>200232</v>
      </c>
      <c r="E28" s="26" t="n">
        <f aca="false">E11*0.228</f>
        <v>208988.8128</v>
      </c>
      <c r="F28" s="26" t="n">
        <f aca="false">F11*0.23</f>
        <v>217146.70944</v>
      </c>
      <c r="G28" s="26" t="n">
        <f aca="false">G11*0.232</f>
        <v>225605.98994688</v>
      </c>
      <c r="H28" s="47" t="n">
        <f aca="false">AVERAGE(C28:G28)/AVERAGE(C11:G11)</f>
        <v>0.227547476115515</v>
      </c>
      <c r="I28" s="44" t="n">
        <f aca="false">SUM(C28:G28)</f>
        <v>1043781.51218688</v>
      </c>
    </row>
    <row r="29" customFormat="false" ht="16.5" hidden="false" customHeight="true" outlineLevel="0" collapsed="false">
      <c r="A29" s="48" t="s">
        <v>103</v>
      </c>
      <c r="B29" s="49" t="s">
        <v>101</v>
      </c>
      <c r="C29" s="22" t="n">
        <f aca="false">C12*0.222</f>
        <v>197136</v>
      </c>
      <c r="D29" s="22" t="n">
        <f aca="false">D12*0.225</f>
        <v>205794</v>
      </c>
      <c r="E29" s="22" t="n">
        <f aca="false">E12*0.228</f>
        <v>214794.0576</v>
      </c>
      <c r="F29" s="22" t="n">
        <f aca="false">F12*0.23</f>
        <v>223178.56248</v>
      </c>
      <c r="G29" s="22" t="n">
        <f aca="false">G12*0.232</f>
        <v>231872.82300096</v>
      </c>
      <c r="H29" s="43" t="n">
        <f aca="false">AVERAGE(C29:G29)/AVERAGE(C12:G12)</f>
        <v>0.227547476115515</v>
      </c>
      <c r="I29" s="44" t="n">
        <f aca="false">SUM(C29:G29)</f>
        <v>1072775.44308096</v>
      </c>
    </row>
    <row r="30" customFormat="false" ht="16.5" hidden="false" customHeight="true" outlineLevel="0" collapsed="false">
      <c r="A30" s="51" t="s">
        <v>104</v>
      </c>
      <c r="B30" s="52" t="s">
        <v>105</v>
      </c>
      <c r="C30" s="26" t="n">
        <f aca="false">C13*0.242</f>
        <v>238128</v>
      </c>
      <c r="D30" s="26" t="n">
        <f aca="false">D13*0.248</f>
        <v>263554.56</v>
      </c>
      <c r="E30" s="26" t="n">
        <f aca="false">E13*0.252</f>
        <v>289229.8752</v>
      </c>
      <c r="F30" s="26" t="n">
        <f aca="false">F13*0.256</f>
        <v>317326.491648</v>
      </c>
      <c r="G30" s="26" t="n">
        <f aca="false">G13*0.26</f>
        <v>348067.4955264</v>
      </c>
      <c r="H30" s="47" t="n">
        <f aca="false">AVERAGE(C30:G30)/AVERAGE(C13:G13)</f>
        <v>0.252273200732576</v>
      </c>
      <c r="I30" s="44" t="n">
        <f aca="false">SUM(C30:G30)</f>
        <v>1456306.4223744</v>
      </c>
    </row>
    <row r="31" customFormat="false" ht="16.5" hidden="false" customHeight="true" outlineLevel="0" collapsed="false">
      <c r="A31" s="29" t="s">
        <v>106</v>
      </c>
      <c r="B31" s="53" t="s">
        <v>105</v>
      </c>
      <c r="C31" s="22" t="n">
        <f aca="false">C14*0.242</f>
        <v>232320</v>
      </c>
      <c r="D31" s="22" t="n">
        <f aca="false">D14*0.248</f>
        <v>257126.4</v>
      </c>
      <c r="E31" s="22" t="n">
        <f aca="false">E14*0.252</f>
        <v>282175.488</v>
      </c>
      <c r="F31" s="22" t="n">
        <f aca="false">F14*0.256</f>
        <v>309586.82112</v>
      </c>
      <c r="G31" s="22" t="n">
        <f aca="false">G14*0.26</f>
        <v>339578.044416</v>
      </c>
      <c r="H31" s="43" t="n">
        <f aca="false">AVERAGE(C31:G31)/AVERAGE(C14:G14)</f>
        <v>0.252273200732576</v>
      </c>
      <c r="I31" s="44" t="n">
        <f aca="false">SUM(C31:G31)</f>
        <v>1420786.753536</v>
      </c>
    </row>
    <row r="32" customFormat="false" ht="16.5" hidden="false" customHeight="true" outlineLevel="0" collapsed="false">
      <c r="A32" s="51" t="s">
        <v>107</v>
      </c>
      <c r="B32" s="52" t="s">
        <v>105</v>
      </c>
      <c r="C32" s="26" t="n">
        <f aca="false">C15*0.242</f>
        <v>238128</v>
      </c>
      <c r="D32" s="26" t="n">
        <f aca="false">D15*0.248</f>
        <v>263554.56</v>
      </c>
      <c r="E32" s="26" t="n">
        <f aca="false">E15*0.252</f>
        <v>289229.8752</v>
      </c>
      <c r="F32" s="26" t="n">
        <f aca="false">F15*0.256</f>
        <v>317326.491648</v>
      </c>
      <c r="G32" s="26" t="n">
        <f aca="false">G15*0.26</f>
        <v>348067.4955264</v>
      </c>
      <c r="H32" s="47" t="n">
        <f aca="false">AVERAGE(C32:G32)/AVERAGE(C15:G15)</f>
        <v>0.252273200732576</v>
      </c>
      <c r="I32" s="44" t="n">
        <f aca="false">SUM(C32:G32)</f>
        <v>1456306.4223744</v>
      </c>
    </row>
    <row r="33" customFormat="false" ht="18" hidden="false" customHeight="true" outlineLevel="0" collapsed="false">
      <c r="A33" s="54" t="s">
        <v>115</v>
      </c>
      <c r="B33" s="55"/>
      <c r="C33" s="56" t="n">
        <f aca="false">C23+C24+C25+C26</f>
        <v>831060</v>
      </c>
      <c r="D33" s="56" t="n">
        <f aca="false">D23+D24+D25+D26</f>
        <v>887922</v>
      </c>
      <c r="E33" s="56" t="n">
        <f aca="false">E23+E24+E25+E26</f>
        <v>948392.55</v>
      </c>
      <c r="F33" s="56" t="n">
        <f aca="false">F23+F24+F25+F26</f>
        <v>1005939.081</v>
      </c>
      <c r="G33" s="56" t="n">
        <f aca="false">G23+G24+G25+G26</f>
        <v>1063324.8675</v>
      </c>
      <c r="H33" s="55"/>
      <c r="I33" s="56" t="n">
        <f aca="false">SUM(I23:I26)</f>
        <v>4736638.4985</v>
      </c>
    </row>
    <row r="34" customFormat="false" ht="18" hidden="false" customHeight="true" outlineLevel="0" collapsed="false">
      <c r="A34" s="58" t="s">
        <v>116</v>
      </c>
      <c r="B34" s="55"/>
      <c r="C34" s="59" t="n">
        <f aca="false">C27+C28+C29</f>
        <v>588744</v>
      </c>
      <c r="D34" s="59" t="n">
        <f aca="false">D27+D28+D29</f>
        <v>614601</v>
      </c>
      <c r="E34" s="59" t="n">
        <f aca="false">E27+E28+E29</f>
        <v>641479.5504</v>
      </c>
      <c r="F34" s="59" t="n">
        <f aca="false">F27+F28+F29</f>
        <v>666519.76092</v>
      </c>
      <c r="G34" s="59" t="n">
        <f aca="false">G27+G28+G29</f>
        <v>692485.05247584</v>
      </c>
      <c r="H34" s="55"/>
      <c r="I34" s="59" t="n">
        <f aca="false">SUM(I27:I29)</f>
        <v>3203829.36379584</v>
      </c>
    </row>
    <row r="35" customFormat="false" ht="18" hidden="false" customHeight="true" outlineLevel="0" collapsed="false">
      <c r="A35" s="61" t="s">
        <v>117</v>
      </c>
      <c r="B35" s="55"/>
      <c r="C35" s="62" t="n">
        <f aca="false">C30+C31+C32</f>
        <v>708576</v>
      </c>
      <c r="D35" s="62" t="n">
        <f aca="false">D30+D31+D32</f>
        <v>784235.52</v>
      </c>
      <c r="E35" s="62" t="n">
        <f aca="false">E30+E31+E32</f>
        <v>860635.2384</v>
      </c>
      <c r="F35" s="62" t="n">
        <f aca="false">F30+F31+F32</f>
        <v>944239.804416</v>
      </c>
      <c r="G35" s="62" t="n">
        <f aca="false">G30+G31+G32</f>
        <v>1035713.0354688</v>
      </c>
      <c r="H35" s="55"/>
      <c r="I35" s="62" t="n">
        <f aca="false">SUM(I30:I32)</f>
        <v>4333399.5982848</v>
      </c>
    </row>
    <row r="36" customFormat="false" ht="19.5" hidden="false" customHeight="true" outlineLevel="0" collapsed="false">
      <c r="A36" s="30" t="s">
        <v>118</v>
      </c>
      <c r="B36" s="64"/>
      <c r="C36" s="31" t="n">
        <f aca="false">C33+C34+C35</f>
        <v>2128380</v>
      </c>
      <c r="D36" s="31" t="n">
        <f aca="false">D33+D34+D35</f>
        <v>2286758.52</v>
      </c>
      <c r="E36" s="31" t="n">
        <f aca="false">E33+E34+E35</f>
        <v>2450507.3388</v>
      </c>
      <c r="F36" s="31" t="n">
        <f aca="false">F33+F34+F35</f>
        <v>2616698.646336</v>
      </c>
      <c r="G36" s="31" t="n">
        <f aca="false">G33+G34+G35</f>
        <v>2791522.95544464</v>
      </c>
      <c r="H36" s="65" t="n">
        <f aca="false">I36/I19</f>
        <v>0.25910647136471</v>
      </c>
      <c r="I36" s="31" t="n">
        <f aca="false">SUM(I33:I35)</f>
        <v>12273867.4605806</v>
      </c>
    </row>
  </sheetData>
  <mergeCells count="4">
    <mergeCell ref="A1:I1"/>
    <mergeCell ref="A2:I2"/>
    <mergeCell ref="A4:I4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7" min="3" style="1" width="12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27.75" hidden="false" customHeight="true" outlineLevel="0" collapsed="false">
      <c r="A1" s="41" t="s">
        <v>119</v>
      </c>
      <c r="B1" s="41"/>
      <c r="C1" s="41"/>
      <c r="D1" s="41"/>
      <c r="E1" s="41"/>
      <c r="F1" s="41"/>
      <c r="G1" s="41"/>
      <c r="H1" s="41"/>
      <c r="I1" s="41"/>
    </row>
    <row r="2" customFormat="false" ht="15" hidden="false" customHeight="true" outlineLevel="0" collapsed="false">
      <c r="A2" s="3" t="s">
        <v>120</v>
      </c>
      <c r="B2" s="3"/>
      <c r="C2" s="3"/>
      <c r="D2" s="3"/>
      <c r="E2" s="3"/>
      <c r="F2" s="3"/>
      <c r="G2" s="3"/>
      <c r="H2" s="3"/>
      <c r="I2" s="3"/>
    </row>
    <row r="3" customFormat="false" ht="7.5" hidden="false" customHeight="true" outlineLevel="0" collapsed="false"/>
    <row r="4" customFormat="false" ht="18" hidden="false" customHeight="true" outlineLevel="0" collapsed="false">
      <c r="A4" s="4" t="s">
        <v>121</v>
      </c>
      <c r="B4" s="4"/>
      <c r="C4" s="4"/>
      <c r="D4" s="4"/>
      <c r="E4" s="4"/>
      <c r="F4" s="4"/>
      <c r="G4" s="4"/>
      <c r="H4" s="4"/>
      <c r="I4" s="4"/>
    </row>
    <row r="5" customFormat="false" ht="16.5" hidden="false" customHeight="true" outlineLevel="0" collapsed="false">
      <c r="A5" s="5" t="s">
        <v>122</v>
      </c>
      <c r="B5" s="9" t="s">
        <v>123</v>
      </c>
      <c r="C5" s="9" t="s">
        <v>124</v>
      </c>
      <c r="D5" s="9"/>
      <c r="E5" s="9"/>
      <c r="F5" s="9"/>
      <c r="G5" s="9"/>
      <c r="H5" s="9"/>
      <c r="I5" s="9"/>
    </row>
    <row r="6" customFormat="false" ht="16.5" hidden="false" customHeight="true" outlineLevel="0" collapsed="false">
      <c r="A6" s="33" t="s">
        <v>125</v>
      </c>
      <c r="B6" s="34" t="n">
        <v>0.25</v>
      </c>
      <c r="C6" s="35" t="s">
        <v>126</v>
      </c>
      <c r="D6" s="35"/>
      <c r="E6" s="35"/>
      <c r="F6" s="35"/>
      <c r="G6" s="35"/>
      <c r="H6" s="35"/>
      <c r="I6" s="35"/>
    </row>
    <row r="7" customFormat="false" ht="16.5" hidden="false" customHeight="true" outlineLevel="0" collapsed="false">
      <c r="A7" s="36" t="s">
        <v>127</v>
      </c>
      <c r="B7" s="34" t="n">
        <v>0.2</v>
      </c>
      <c r="C7" s="37" t="s">
        <v>128</v>
      </c>
      <c r="D7" s="37"/>
      <c r="E7" s="37"/>
      <c r="F7" s="37"/>
      <c r="G7" s="37"/>
      <c r="H7" s="37"/>
      <c r="I7" s="37"/>
    </row>
    <row r="8" customFormat="false" ht="16.5" hidden="false" customHeight="true" outlineLevel="0" collapsed="false">
      <c r="A8" s="33" t="s">
        <v>129</v>
      </c>
      <c r="B8" s="34" t="n">
        <v>0.25</v>
      </c>
      <c r="C8" s="35" t="s">
        <v>130</v>
      </c>
      <c r="D8" s="35"/>
      <c r="E8" s="35"/>
      <c r="F8" s="35"/>
      <c r="G8" s="35"/>
      <c r="H8" s="35"/>
      <c r="I8" s="35"/>
    </row>
    <row r="9" customFormat="false" ht="16.5" hidden="false" customHeight="true" outlineLevel="0" collapsed="false">
      <c r="A9" s="36" t="s">
        <v>131</v>
      </c>
      <c r="B9" s="34" t="n">
        <v>0.15</v>
      </c>
      <c r="C9" s="37" t="s">
        <v>132</v>
      </c>
      <c r="D9" s="37"/>
      <c r="E9" s="37"/>
      <c r="F9" s="37"/>
      <c r="G9" s="37"/>
      <c r="H9" s="37"/>
      <c r="I9" s="37"/>
    </row>
    <row r="10" customFormat="false" ht="16.5" hidden="false" customHeight="true" outlineLevel="0" collapsed="false">
      <c r="A10" s="33" t="s">
        <v>133</v>
      </c>
      <c r="B10" s="34" t="n">
        <v>0.1</v>
      </c>
      <c r="C10" s="35" t="s">
        <v>134</v>
      </c>
      <c r="D10" s="35"/>
      <c r="E10" s="35"/>
      <c r="F10" s="35"/>
      <c r="G10" s="35"/>
      <c r="H10" s="35"/>
      <c r="I10" s="35"/>
    </row>
    <row r="11" customFormat="false" ht="16.5" hidden="false" customHeight="true" outlineLevel="0" collapsed="false">
      <c r="A11" s="36" t="s">
        <v>135</v>
      </c>
      <c r="B11" s="34" t="n">
        <v>0.05</v>
      </c>
      <c r="C11" s="37" t="s">
        <v>136</v>
      </c>
      <c r="D11" s="37"/>
      <c r="E11" s="37"/>
      <c r="F11" s="37"/>
      <c r="G11" s="37"/>
      <c r="H11" s="37"/>
      <c r="I11" s="37"/>
    </row>
    <row r="12" customFormat="false" ht="16.5" hidden="false" customHeight="true" outlineLevel="0" collapsed="false">
      <c r="A12" s="66" t="s">
        <v>137</v>
      </c>
      <c r="B12" s="67" t="n">
        <f aca="false">SUM(B6:B11)</f>
        <v>1</v>
      </c>
      <c r="C12" s="68" t="s">
        <v>138</v>
      </c>
      <c r="D12" s="68"/>
      <c r="E12" s="68"/>
      <c r="F12" s="68"/>
      <c r="G12" s="68"/>
      <c r="H12" s="68"/>
      <c r="I12" s="68"/>
    </row>
    <row r="13" customFormat="false" ht="7.5" hidden="false" customHeight="true" outlineLevel="0" collapsed="false"/>
    <row r="14" customFormat="false" ht="18" hidden="false" customHeight="true" outlineLevel="0" collapsed="false">
      <c r="A14" s="4" t="s">
        <v>139</v>
      </c>
      <c r="B14" s="4"/>
      <c r="C14" s="4"/>
      <c r="D14" s="4"/>
      <c r="E14" s="4"/>
      <c r="F14" s="4"/>
      <c r="G14" s="4"/>
      <c r="H14" s="4"/>
      <c r="I14" s="4"/>
    </row>
    <row r="15" customFormat="false" ht="16.5" hidden="false" customHeight="true" outlineLevel="0" collapsed="false">
      <c r="A15" s="5" t="s">
        <v>92</v>
      </c>
      <c r="B15" s="9" t="s">
        <v>93</v>
      </c>
      <c r="C15" s="9" t="s">
        <v>140</v>
      </c>
      <c r="D15" s="9" t="s">
        <v>141</v>
      </c>
      <c r="E15" s="9" t="s">
        <v>142</v>
      </c>
      <c r="F15" s="9" t="s">
        <v>143</v>
      </c>
      <c r="G15" s="9" t="s">
        <v>144</v>
      </c>
      <c r="H15" s="9" t="s">
        <v>145</v>
      </c>
      <c r="I15" s="9" t="s">
        <v>146</v>
      </c>
    </row>
    <row r="16" customFormat="false" ht="16.5" hidden="false" customHeight="true" outlineLevel="0" collapsed="false">
      <c r="A16" s="21" t="s">
        <v>95</v>
      </c>
      <c r="B16" s="42" t="s">
        <v>96</v>
      </c>
      <c r="C16" s="69" t="n">
        <v>7</v>
      </c>
      <c r="D16" s="69" t="n">
        <v>6</v>
      </c>
      <c r="E16" s="69" t="n">
        <v>8</v>
      </c>
      <c r="F16" s="69" t="n">
        <v>7</v>
      </c>
      <c r="G16" s="69" t="n">
        <v>7</v>
      </c>
      <c r="H16" s="69" t="n">
        <v>8</v>
      </c>
      <c r="I16" s="70" t="n">
        <f aca="false">C16*$B$6+D16*$B$7+E16*$B$8+F16*$B$9+G16*$B$10+H16*$B$11</f>
        <v>7.1</v>
      </c>
    </row>
    <row r="17" customFormat="false" ht="16.5" hidden="false" customHeight="true" outlineLevel="0" collapsed="false">
      <c r="A17" s="45" t="s">
        <v>97</v>
      </c>
      <c r="B17" s="46" t="s">
        <v>96</v>
      </c>
      <c r="C17" s="69" t="n">
        <v>8</v>
      </c>
      <c r="D17" s="69" t="n">
        <v>5</v>
      </c>
      <c r="E17" s="69" t="n">
        <v>7</v>
      </c>
      <c r="F17" s="69" t="n">
        <v>6</v>
      </c>
      <c r="G17" s="69" t="n">
        <v>8</v>
      </c>
      <c r="H17" s="69" t="n">
        <v>8</v>
      </c>
      <c r="I17" s="70" t="n">
        <f aca="false">C17*$B$6+D17*$B$7+E17*$B$8+F17*$B$9+G17*$B$10+H17*$B$11</f>
        <v>6.85</v>
      </c>
    </row>
    <row r="18" customFormat="false" ht="16.5" hidden="false" customHeight="true" outlineLevel="0" collapsed="false">
      <c r="A18" s="21" t="s">
        <v>98</v>
      </c>
      <c r="B18" s="42" t="s">
        <v>96</v>
      </c>
      <c r="C18" s="69" t="n">
        <v>6</v>
      </c>
      <c r="D18" s="69" t="n">
        <v>6</v>
      </c>
      <c r="E18" s="69" t="n">
        <v>7</v>
      </c>
      <c r="F18" s="69" t="n">
        <v>8</v>
      </c>
      <c r="G18" s="69" t="n">
        <v>6</v>
      </c>
      <c r="H18" s="69" t="n">
        <v>8</v>
      </c>
      <c r="I18" s="70" t="n">
        <f aca="false">C18*$B$6+D18*$B$7+E18*$B$8+F18*$B$9+G18*$B$10+H18*$B$11</f>
        <v>6.65</v>
      </c>
    </row>
    <row r="19" customFormat="false" ht="16.5" hidden="false" customHeight="true" outlineLevel="0" collapsed="false">
      <c r="A19" s="45" t="s">
        <v>99</v>
      </c>
      <c r="B19" s="46" t="s">
        <v>96</v>
      </c>
      <c r="C19" s="69" t="n">
        <v>7</v>
      </c>
      <c r="D19" s="69" t="n">
        <v>7</v>
      </c>
      <c r="E19" s="69" t="n">
        <v>8</v>
      </c>
      <c r="F19" s="69" t="n">
        <v>7</v>
      </c>
      <c r="G19" s="69" t="n">
        <v>7</v>
      </c>
      <c r="H19" s="69" t="n">
        <v>8</v>
      </c>
      <c r="I19" s="70" t="n">
        <f aca="false">C19*$B$6+D19*$B$7+E19*$B$8+F19*$B$9+G19*$B$10+H19*$B$11</f>
        <v>7.3</v>
      </c>
    </row>
    <row r="20" customFormat="false" ht="16.5" hidden="false" customHeight="true" outlineLevel="0" collapsed="false">
      <c r="A20" s="48" t="s">
        <v>100</v>
      </c>
      <c r="B20" s="49" t="s">
        <v>101</v>
      </c>
      <c r="C20" s="69" t="n">
        <v>6</v>
      </c>
      <c r="D20" s="69" t="n">
        <v>7</v>
      </c>
      <c r="E20" s="69" t="n">
        <v>9</v>
      </c>
      <c r="F20" s="69" t="n">
        <v>6</v>
      </c>
      <c r="G20" s="69" t="n">
        <v>9</v>
      </c>
      <c r="H20" s="69" t="n">
        <v>7</v>
      </c>
      <c r="I20" s="70" t="n">
        <f aca="false">C20*$B$6+D20*$B$7+E20*$B$8+F20*$B$9+G20*$B$10+H20*$B$11</f>
        <v>7.3</v>
      </c>
    </row>
    <row r="21" customFormat="false" ht="16.5" hidden="false" customHeight="true" outlineLevel="0" collapsed="false">
      <c r="A21" s="25" t="s">
        <v>102</v>
      </c>
      <c r="B21" s="50" t="s">
        <v>101</v>
      </c>
      <c r="C21" s="69" t="n">
        <v>7</v>
      </c>
      <c r="D21" s="69" t="n">
        <v>6</v>
      </c>
      <c r="E21" s="69" t="n">
        <v>8</v>
      </c>
      <c r="F21" s="69" t="n">
        <v>7</v>
      </c>
      <c r="G21" s="69" t="n">
        <v>8</v>
      </c>
      <c r="H21" s="69" t="n">
        <v>7</v>
      </c>
      <c r="I21" s="70" t="n">
        <f aca="false">C21*$B$6+D21*$B$7+E21*$B$8+F21*$B$9+G21*$B$10+H21*$B$11</f>
        <v>7.15</v>
      </c>
    </row>
    <row r="22" customFormat="false" ht="16.5" hidden="false" customHeight="true" outlineLevel="0" collapsed="false">
      <c r="A22" s="48" t="s">
        <v>103</v>
      </c>
      <c r="B22" s="49" t="s">
        <v>101</v>
      </c>
      <c r="C22" s="69" t="n">
        <v>5</v>
      </c>
      <c r="D22" s="69" t="n">
        <v>7</v>
      </c>
      <c r="E22" s="69" t="n">
        <v>8</v>
      </c>
      <c r="F22" s="69" t="n">
        <v>8</v>
      </c>
      <c r="G22" s="69" t="n">
        <v>7</v>
      </c>
      <c r="H22" s="69" t="n">
        <v>7</v>
      </c>
      <c r="I22" s="70" t="n">
        <f aca="false">C22*$B$6+D22*$B$7+E22*$B$8+F22*$B$9+G22*$B$10+H22*$B$11</f>
        <v>6.9</v>
      </c>
    </row>
    <row r="23" customFormat="false" ht="16.5" hidden="false" customHeight="true" outlineLevel="0" collapsed="false">
      <c r="A23" s="51" t="s">
        <v>104</v>
      </c>
      <c r="B23" s="52" t="s">
        <v>105</v>
      </c>
      <c r="C23" s="69" t="n">
        <v>8</v>
      </c>
      <c r="D23" s="69" t="n">
        <v>6</v>
      </c>
      <c r="E23" s="69" t="n">
        <v>8</v>
      </c>
      <c r="F23" s="69" t="n">
        <v>6</v>
      </c>
      <c r="G23" s="69" t="n">
        <v>7</v>
      </c>
      <c r="H23" s="69" t="n">
        <v>9</v>
      </c>
      <c r="I23" s="70" t="n">
        <f aca="false">C23*$B$6+D23*$B$7+E23*$B$8+F23*$B$9+G23*$B$10+H23*$B$11</f>
        <v>7.25</v>
      </c>
    </row>
    <row r="24" customFormat="false" ht="16.5" hidden="false" customHeight="true" outlineLevel="0" collapsed="false">
      <c r="A24" s="29" t="s">
        <v>106</v>
      </c>
      <c r="B24" s="53" t="s">
        <v>105</v>
      </c>
      <c r="C24" s="69" t="n">
        <v>7</v>
      </c>
      <c r="D24" s="69" t="n">
        <v>7</v>
      </c>
      <c r="E24" s="69" t="n">
        <v>7</v>
      </c>
      <c r="F24" s="69" t="n">
        <v>7</v>
      </c>
      <c r="G24" s="69" t="n">
        <v>7</v>
      </c>
      <c r="H24" s="69" t="n">
        <v>9</v>
      </c>
      <c r="I24" s="70" t="n">
        <f aca="false">C24*$B$6+D24*$B$7+E24*$B$8+F24*$B$9+G24*$B$10+H24*$B$11</f>
        <v>7.1</v>
      </c>
    </row>
    <row r="25" customFormat="false" ht="16.5" hidden="false" customHeight="true" outlineLevel="0" collapsed="false">
      <c r="A25" s="51" t="s">
        <v>107</v>
      </c>
      <c r="B25" s="52" t="s">
        <v>105</v>
      </c>
      <c r="C25" s="69" t="n">
        <v>8</v>
      </c>
      <c r="D25" s="69" t="n">
        <v>6</v>
      </c>
      <c r="E25" s="69" t="n">
        <v>9</v>
      </c>
      <c r="F25" s="69" t="n">
        <v>5</v>
      </c>
      <c r="G25" s="69" t="n">
        <v>8</v>
      </c>
      <c r="H25" s="69" t="n">
        <v>9</v>
      </c>
      <c r="I25" s="70" t="n">
        <f aca="false">C25*$B$6+D25*$B$7+E25*$B$8+F25*$B$9+G25*$B$10+H25*$B$11</f>
        <v>7.45</v>
      </c>
    </row>
    <row r="26" customFormat="false" ht="7.5" hidden="false" customHeight="true" outlineLevel="0" collapsed="false"/>
    <row r="27" customFormat="false" ht="18" hidden="false" customHeight="true" outlineLevel="0" collapsed="false">
      <c r="A27" s="4" t="s">
        <v>147</v>
      </c>
      <c r="B27" s="4"/>
      <c r="C27" s="4"/>
      <c r="D27" s="4"/>
      <c r="E27" s="4"/>
      <c r="F27" s="4"/>
      <c r="G27" s="4"/>
      <c r="H27" s="4"/>
      <c r="I27" s="4"/>
    </row>
    <row r="28" customFormat="false" ht="16.5" hidden="false" customHeight="true" outlineLevel="0" collapsed="false">
      <c r="A28" s="5" t="s">
        <v>148</v>
      </c>
      <c r="B28" s="9" t="s">
        <v>149</v>
      </c>
      <c r="C28" s="9" t="s">
        <v>150</v>
      </c>
      <c r="D28" s="9"/>
      <c r="E28" s="9"/>
      <c r="F28" s="9"/>
      <c r="G28" s="9"/>
      <c r="H28" s="9"/>
      <c r="I28" s="9"/>
    </row>
    <row r="29" customFormat="false" ht="16.5" hidden="false" customHeight="true" outlineLevel="0" collapsed="false">
      <c r="A29" s="71" t="s">
        <v>151</v>
      </c>
      <c r="B29" s="72" t="s">
        <v>152</v>
      </c>
      <c r="C29" s="73" t="s">
        <v>153</v>
      </c>
      <c r="D29" s="73"/>
      <c r="E29" s="73"/>
      <c r="F29" s="73"/>
      <c r="G29" s="73"/>
      <c r="H29" s="73"/>
      <c r="I29" s="73"/>
    </row>
    <row r="30" customFormat="false" ht="16.5" hidden="false" customHeight="true" outlineLevel="0" collapsed="false">
      <c r="A30" s="71" t="s">
        <v>154</v>
      </c>
      <c r="B30" s="72" t="s">
        <v>155</v>
      </c>
      <c r="C30" s="73" t="s">
        <v>156</v>
      </c>
      <c r="D30" s="73"/>
      <c r="E30" s="73"/>
      <c r="F30" s="73"/>
      <c r="G30" s="73"/>
      <c r="H30" s="73"/>
      <c r="I30" s="73"/>
    </row>
    <row r="31" customFormat="false" ht="16.5" hidden="false" customHeight="true" outlineLevel="0" collapsed="false">
      <c r="A31" s="74" t="s">
        <v>157</v>
      </c>
      <c r="B31" s="75" t="s">
        <v>158</v>
      </c>
      <c r="C31" s="76" t="s">
        <v>159</v>
      </c>
      <c r="D31" s="76"/>
      <c r="E31" s="76"/>
      <c r="F31" s="76"/>
      <c r="G31" s="76"/>
      <c r="H31" s="76"/>
      <c r="I31" s="76"/>
    </row>
    <row r="32" customFormat="false" ht="16.5" hidden="false" customHeight="true" outlineLevel="0" collapsed="false">
      <c r="A32" s="77" t="s">
        <v>160</v>
      </c>
      <c r="B32" s="78" t="s">
        <v>161</v>
      </c>
      <c r="C32" s="79" t="s">
        <v>162</v>
      </c>
      <c r="D32" s="79"/>
      <c r="E32" s="79"/>
      <c r="F32" s="79"/>
      <c r="G32" s="79"/>
      <c r="H32" s="79"/>
      <c r="I32" s="79"/>
    </row>
    <row r="33" customFormat="false" ht="16.5" hidden="false" customHeight="true" outlineLevel="0" collapsed="false">
      <c r="A33" s="77" t="s">
        <v>163</v>
      </c>
      <c r="B33" s="78" t="s">
        <v>164</v>
      </c>
      <c r="C33" s="79" t="s">
        <v>165</v>
      </c>
      <c r="D33" s="79"/>
      <c r="E33" s="79"/>
      <c r="F33" s="79"/>
      <c r="G33" s="79"/>
      <c r="H33" s="79"/>
      <c r="I33" s="79"/>
    </row>
  </sheetData>
  <mergeCells count="19">
    <mergeCell ref="A1:I1"/>
    <mergeCell ref="A2:I2"/>
    <mergeCell ref="A4:I4"/>
    <mergeCell ref="C5:I5"/>
    <mergeCell ref="C6:I6"/>
    <mergeCell ref="C7:I7"/>
    <mergeCell ref="C8:I8"/>
    <mergeCell ref="C9:I9"/>
    <mergeCell ref="C10:I10"/>
    <mergeCell ref="C11:I11"/>
    <mergeCell ref="C12:I12"/>
    <mergeCell ref="A14:I14"/>
    <mergeCell ref="A27:I27"/>
    <mergeCell ref="C28:I28"/>
    <mergeCell ref="C29:I29"/>
    <mergeCell ref="C30:I30"/>
    <mergeCell ref="C31:I31"/>
    <mergeCell ref="C32:I32"/>
    <mergeCell ref="C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8"/>
  </cols>
  <sheetData>
    <row r="1" customFormat="false" ht="27.75" hidden="false" customHeight="true" outlineLevel="0" collapsed="false">
      <c r="A1" s="41" t="s">
        <v>166</v>
      </c>
      <c r="B1" s="41"/>
      <c r="C1" s="41"/>
      <c r="D1" s="41"/>
      <c r="E1" s="41"/>
      <c r="F1" s="41"/>
    </row>
    <row r="2" customFormat="false" ht="15" hidden="false" customHeight="true" outlineLevel="0" collapsed="false">
      <c r="A2" s="3" t="s">
        <v>167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18" hidden="false" customHeight="true" outlineLevel="0" collapsed="false">
      <c r="A4" s="4" t="s">
        <v>168</v>
      </c>
      <c r="B4" s="4"/>
      <c r="C4" s="4"/>
      <c r="D4" s="4"/>
      <c r="E4" s="4"/>
      <c r="F4" s="4"/>
    </row>
    <row r="5" customFormat="false" ht="16.5" hidden="false" customHeight="true" outlineLevel="0" collapsed="false">
      <c r="A5" s="33" t="s">
        <v>93</v>
      </c>
      <c r="B5" s="80" t="s">
        <v>6</v>
      </c>
      <c r="C5" s="35" t="s">
        <v>169</v>
      </c>
      <c r="D5" s="35"/>
      <c r="E5" s="35"/>
      <c r="F5" s="35"/>
    </row>
    <row r="6" customFormat="false" ht="16.5" hidden="false" customHeight="true" outlineLevel="0" collapsed="false">
      <c r="A6" s="36" t="s">
        <v>170</v>
      </c>
      <c r="B6" s="80" t="s">
        <v>171</v>
      </c>
      <c r="C6" s="37" t="s">
        <v>172</v>
      </c>
      <c r="D6" s="37"/>
      <c r="E6" s="37"/>
      <c r="F6" s="37"/>
    </row>
    <row r="7" customFormat="false" ht="16.5" hidden="false" customHeight="true" outlineLevel="0" collapsed="false">
      <c r="A7" s="33" t="s">
        <v>173</v>
      </c>
      <c r="B7" s="38" t="n">
        <v>820000</v>
      </c>
      <c r="C7" s="35" t="s">
        <v>174</v>
      </c>
      <c r="D7" s="35"/>
      <c r="E7" s="35"/>
      <c r="F7" s="35"/>
    </row>
    <row r="8" customFormat="false" ht="16.5" hidden="false" customHeight="true" outlineLevel="0" collapsed="false">
      <c r="A8" s="36" t="s">
        <v>175</v>
      </c>
      <c r="B8" s="38" t="n">
        <v>450000</v>
      </c>
      <c r="C8" s="37" t="s">
        <v>176</v>
      </c>
      <c r="D8" s="37"/>
      <c r="E8" s="37"/>
      <c r="F8" s="37"/>
    </row>
    <row r="9" customFormat="false" ht="16.5" hidden="false" customHeight="true" outlineLevel="0" collapsed="false">
      <c r="A9" s="33" t="s">
        <v>177</v>
      </c>
      <c r="B9" s="38" t="n">
        <v>7500</v>
      </c>
      <c r="C9" s="35" t="s">
        <v>178</v>
      </c>
      <c r="D9" s="35"/>
      <c r="E9" s="35"/>
      <c r="F9" s="35"/>
    </row>
    <row r="10" customFormat="false" ht="16.5" hidden="false" customHeight="true" outlineLevel="0" collapsed="false">
      <c r="A10" s="36" t="s">
        <v>179</v>
      </c>
      <c r="B10" s="34" t="n">
        <v>0.33</v>
      </c>
      <c r="C10" s="37" t="s">
        <v>180</v>
      </c>
      <c r="D10" s="37"/>
      <c r="E10" s="37"/>
      <c r="F10" s="37"/>
    </row>
    <row r="11" customFormat="false" ht="16.5" hidden="false" customHeight="true" outlineLevel="0" collapsed="false">
      <c r="A11" s="33" t="s">
        <v>181</v>
      </c>
      <c r="B11" s="34" t="n">
        <v>0.21</v>
      </c>
      <c r="C11" s="35" t="s">
        <v>182</v>
      </c>
      <c r="D11" s="35"/>
      <c r="E11" s="35"/>
      <c r="F11" s="35"/>
    </row>
    <row r="12" customFormat="false" ht="16.5" hidden="false" customHeight="true" outlineLevel="0" collapsed="false">
      <c r="A12" s="36" t="s">
        <v>183</v>
      </c>
      <c r="B12" s="34" t="n">
        <v>0.15</v>
      </c>
      <c r="C12" s="37" t="s">
        <v>184</v>
      </c>
      <c r="D12" s="37"/>
      <c r="E12" s="37"/>
      <c r="F12" s="37"/>
    </row>
    <row r="13" customFormat="false" ht="16.5" hidden="false" customHeight="true" outlineLevel="0" collapsed="false">
      <c r="A13" s="33" t="s">
        <v>185</v>
      </c>
      <c r="B13" s="34" t="n">
        <v>0.08</v>
      </c>
      <c r="C13" s="35" t="s">
        <v>186</v>
      </c>
      <c r="D13" s="35"/>
      <c r="E13" s="35"/>
      <c r="F13" s="35"/>
    </row>
    <row r="14" customFormat="false" ht="16.5" hidden="false" customHeight="true" outlineLevel="0" collapsed="false">
      <c r="A14" s="36" t="s">
        <v>187</v>
      </c>
      <c r="B14" s="81" t="n">
        <v>7.8</v>
      </c>
      <c r="C14" s="37" t="s">
        <v>188</v>
      </c>
      <c r="D14" s="37"/>
      <c r="E14" s="37"/>
      <c r="F14" s="37"/>
    </row>
    <row r="15" customFormat="false" ht="16.5" hidden="false" customHeight="true" outlineLevel="0" collapsed="false">
      <c r="A15" s="33" t="s">
        <v>189</v>
      </c>
      <c r="B15" s="34" t="n">
        <v>0.1</v>
      </c>
      <c r="C15" s="35" t="s">
        <v>190</v>
      </c>
      <c r="D15" s="35"/>
      <c r="E15" s="35"/>
      <c r="F15" s="35"/>
    </row>
    <row r="16" customFormat="false" ht="7.5" hidden="false" customHeight="true" outlineLevel="0" collapsed="false"/>
    <row r="17" customFormat="false" ht="18" hidden="false" customHeight="true" outlineLevel="0" collapsed="false">
      <c r="A17" s="4" t="s">
        <v>191</v>
      </c>
      <c r="B17" s="4"/>
      <c r="C17" s="4"/>
      <c r="D17" s="4"/>
      <c r="E17" s="4"/>
      <c r="F17" s="4"/>
    </row>
    <row r="18" customFormat="false" ht="16.5" hidden="false" customHeight="true" outlineLevel="0" collapsed="false">
      <c r="A18" s="5" t="s">
        <v>3</v>
      </c>
      <c r="B18" s="9" t="s">
        <v>192</v>
      </c>
      <c r="C18" s="9" t="s">
        <v>193</v>
      </c>
      <c r="D18" s="9" t="s">
        <v>194</v>
      </c>
      <c r="E18" s="9" t="s">
        <v>195</v>
      </c>
      <c r="F18" s="9" t="s">
        <v>196</v>
      </c>
    </row>
    <row r="19" customFormat="false" ht="16.5" hidden="false" customHeight="true" outlineLevel="0" collapsed="false">
      <c r="A19" s="33" t="s">
        <v>197</v>
      </c>
      <c r="B19" s="22" t="n">
        <f aca="false">B7*(1+B13)^0</f>
        <v>820000</v>
      </c>
      <c r="C19" s="22" t="n">
        <f aca="false">B7*(1+B13)^1</f>
        <v>885600</v>
      </c>
      <c r="D19" s="22" t="n">
        <f aca="false">B7*(1+B13)^2</f>
        <v>956448</v>
      </c>
      <c r="E19" s="22" t="n">
        <f aca="false">B7*(1+B13)^3</f>
        <v>1032963.84</v>
      </c>
      <c r="F19" s="22" t="n">
        <f aca="false">B7*(1+B13)^4</f>
        <v>1115600.9472</v>
      </c>
    </row>
    <row r="20" customFormat="false" ht="16.5" hidden="false" customHeight="true" outlineLevel="0" collapsed="false">
      <c r="A20" s="36" t="s">
        <v>198</v>
      </c>
      <c r="B20" s="26" t="n">
        <f aca="false">C19*(B10+0.02)</f>
        <v>309960</v>
      </c>
      <c r="C20" s="26" t="n">
        <f aca="false">D19*(B10+0.02)</f>
        <v>334756.8</v>
      </c>
      <c r="D20" s="26" t="n">
        <f aca="false">E19*(B10+0.02)</f>
        <v>361537.344</v>
      </c>
      <c r="E20" s="26" t="n">
        <f aca="false">F19*(B10+0.02)</f>
        <v>390460.33152</v>
      </c>
      <c r="F20" s="26" t="n">
        <f aca="false">G19*(B10+0.02)</f>
        <v>0</v>
      </c>
    </row>
    <row r="21" customFormat="false" ht="16.5" hidden="false" customHeight="true" outlineLevel="0" collapsed="false">
      <c r="A21" s="82" t="s">
        <v>199</v>
      </c>
      <c r="B21" s="83" t="n">
        <f aca="false">C19-C20</f>
        <v>550843.2</v>
      </c>
      <c r="C21" s="83" t="n">
        <f aca="false">D19-D20</f>
        <v>594910.656</v>
      </c>
      <c r="D21" s="83" t="n">
        <f aca="false">E19-E20</f>
        <v>642503.50848</v>
      </c>
      <c r="E21" s="83" t="n">
        <f aca="false">F19-F20</f>
        <v>1115600.9472</v>
      </c>
      <c r="F21" s="83" t="n">
        <f aca="false">G19-G20</f>
        <v>0</v>
      </c>
    </row>
    <row r="22" customFormat="false" ht="16.5" hidden="false" customHeight="true" outlineLevel="0" collapsed="false">
      <c r="A22" s="36" t="s">
        <v>200</v>
      </c>
      <c r="B22" s="26" t="n">
        <f aca="false">C19*B11</f>
        <v>185976</v>
      </c>
      <c r="C22" s="26" t="n">
        <f aca="false">D19*B11</f>
        <v>200854.08</v>
      </c>
      <c r="D22" s="26" t="n">
        <f aca="false">E19*B11</f>
        <v>216922.4064</v>
      </c>
      <c r="E22" s="26" t="n">
        <f aca="false">F19*B11</f>
        <v>234276.198912</v>
      </c>
      <c r="F22" s="26" t="n">
        <f aca="false">G19*B11</f>
        <v>0</v>
      </c>
    </row>
    <row r="23" customFormat="false" ht="16.5" hidden="false" customHeight="true" outlineLevel="0" collapsed="false">
      <c r="A23" s="33" t="s">
        <v>201</v>
      </c>
      <c r="B23" s="22" t="n">
        <f aca="false">B9*12</f>
        <v>90000</v>
      </c>
      <c r="C23" s="22" t="n">
        <f aca="false">B9*12*(1+Dashboard!$B$25)^1</f>
        <v>92700</v>
      </c>
      <c r="D23" s="22" t="n">
        <f aca="false">B9*12*(1+Dashboard!$B$25)^2</f>
        <v>95481</v>
      </c>
      <c r="E23" s="22" t="n">
        <f aca="false">B9*12*(1+Dashboard!$B$25)^3</f>
        <v>98345.43</v>
      </c>
      <c r="F23" s="22" t="n">
        <f aca="false">B9*12*(1+Dashboard!$B$25)^4</f>
        <v>101295.7929</v>
      </c>
    </row>
    <row r="24" customFormat="false" ht="16.5" hidden="false" customHeight="true" outlineLevel="0" collapsed="false">
      <c r="A24" s="36" t="s">
        <v>202</v>
      </c>
      <c r="B24" s="26" t="n">
        <f aca="false">C19*B12</f>
        <v>132840</v>
      </c>
      <c r="C24" s="26" t="n">
        <f aca="false">D19*B12</f>
        <v>143467.2</v>
      </c>
      <c r="D24" s="26" t="n">
        <f aca="false">E19*B12</f>
        <v>154944.576</v>
      </c>
      <c r="E24" s="26" t="n">
        <f aca="false">F19*B12</f>
        <v>167340.14208</v>
      </c>
      <c r="F24" s="26" t="n">
        <f aca="false">G19*B12</f>
        <v>0</v>
      </c>
    </row>
    <row r="25" customFormat="false" ht="16.5" hidden="false" customHeight="true" outlineLevel="0" collapsed="false">
      <c r="A25" s="10" t="s">
        <v>203</v>
      </c>
      <c r="B25" s="24" t="n">
        <f aca="false">C22+C23+C24</f>
        <v>437021.28</v>
      </c>
      <c r="C25" s="24" t="n">
        <f aca="false">D22+D23+D24</f>
        <v>467347.9824</v>
      </c>
      <c r="D25" s="24" t="n">
        <f aca="false">E22+E23+E24</f>
        <v>499961.770992</v>
      </c>
      <c r="E25" s="24" t="n">
        <f aca="false">F22+F23+F24</f>
        <v>101295.7929</v>
      </c>
      <c r="F25" s="24" t="n">
        <f aca="false">G22+G23+G24</f>
        <v>0</v>
      </c>
    </row>
    <row r="26" customFormat="false" ht="16.5" hidden="false" customHeight="true" outlineLevel="0" collapsed="false">
      <c r="A26" s="84" t="s">
        <v>204</v>
      </c>
      <c r="B26" s="44" t="n">
        <f aca="false">C21-C25</f>
        <v>127562.6736</v>
      </c>
      <c r="C26" s="44" t="n">
        <f aca="false">D21-D25</f>
        <v>142541.737488</v>
      </c>
      <c r="D26" s="44" t="n">
        <f aca="false">E21-E25</f>
        <v>1014305.1543</v>
      </c>
      <c r="E26" s="44" t="n">
        <f aca="false">F21-F25</f>
        <v>0</v>
      </c>
      <c r="F26" s="44" t="n">
        <f aca="false">G21-G25</f>
        <v>0</v>
      </c>
    </row>
    <row r="27" customFormat="false" ht="16.5" hidden="false" customHeight="true" outlineLevel="0" collapsed="false">
      <c r="A27" s="33" t="s">
        <v>205</v>
      </c>
      <c r="B27" s="43" t="n">
        <f aca="false">IF(C19=0,0,C26/C19)</f>
        <v>0.160954988130081</v>
      </c>
      <c r="C27" s="43" t="n">
        <f aca="false">IF(D19=0,0,D26/D19)</f>
        <v>1.06049168830924</v>
      </c>
      <c r="D27" s="43" t="n">
        <f aca="false">IF(E19=0,0,E26/E19)</f>
        <v>0</v>
      </c>
      <c r="E27" s="43" t="n">
        <f aca="false">IF(F19=0,0,F26/F19)</f>
        <v>0</v>
      </c>
      <c r="F27" s="43" t="n">
        <f aca="false">IF(G19=0,0,G26/G19)</f>
        <v>0</v>
      </c>
    </row>
    <row r="28" customFormat="false" ht="16.5" hidden="false" customHeight="true" outlineLevel="0" collapsed="false">
      <c r="A28" s="15" t="s">
        <v>206</v>
      </c>
      <c r="B28" s="28" t="n">
        <f aca="false">-B8+B26</f>
        <v>-322437.3264</v>
      </c>
      <c r="C28" s="28" t="n">
        <f aca="false">B28+C26</f>
        <v>-179895.588912</v>
      </c>
      <c r="D28" s="28" t="n">
        <f aca="false">C28+D26</f>
        <v>834409.565388</v>
      </c>
      <c r="E28" s="28" t="n">
        <f aca="false">D28+E26</f>
        <v>834409.565388</v>
      </c>
      <c r="F28" s="28" t="n">
        <f aca="false">E28+F26</f>
        <v>834409.565388</v>
      </c>
    </row>
    <row r="29" customFormat="false" ht="7.5" hidden="false" customHeight="true" outlineLevel="0" collapsed="false"/>
    <row r="30" customFormat="false" ht="18" hidden="false" customHeight="true" outlineLevel="0" collapsed="false">
      <c r="A30" s="4" t="s">
        <v>207</v>
      </c>
      <c r="B30" s="4"/>
      <c r="C30" s="4"/>
      <c r="D30" s="4"/>
      <c r="E30" s="4"/>
      <c r="F30" s="4"/>
    </row>
    <row r="31" customFormat="false" ht="18" hidden="false" customHeight="true" outlineLevel="0" collapsed="false">
      <c r="A31" s="33" t="s">
        <v>208</v>
      </c>
      <c r="B31" s="22" t="n">
        <f aca="false">C26</f>
        <v>142541.737488</v>
      </c>
      <c r="C31" s="85" t="s">
        <v>209</v>
      </c>
      <c r="D31" s="85"/>
      <c r="E31" s="85"/>
      <c r="F31" s="85"/>
    </row>
    <row r="32" customFormat="false" ht="18" hidden="false" customHeight="true" outlineLevel="0" collapsed="false">
      <c r="A32" s="36" t="s">
        <v>210</v>
      </c>
      <c r="B32" s="47" t="n">
        <f aca="false">C27</f>
        <v>1.06049168830924</v>
      </c>
      <c r="C32" s="86" t="s">
        <v>211</v>
      </c>
      <c r="D32" s="86"/>
      <c r="E32" s="86"/>
      <c r="F32" s="86"/>
    </row>
    <row r="33" customFormat="false" ht="18" hidden="false" customHeight="true" outlineLevel="0" collapsed="false">
      <c r="A33" s="33" t="s">
        <v>212</v>
      </c>
      <c r="B33" s="87" t="n">
        <f aca="false">IF(C26&gt;0,12*B8/C26,99)</f>
        <v>37.8836409262558</v>
      </c>
      <c r="C33" s="85" t="s">
        <v>213</v>
      </c>
      <c r="D33" s="85"/>
      <c r="E33" s="85"/>
      <c r="F33" s="85"/>
    </row>
    <row r="34" customFormat="false" ht="18" hidden="false" customHeight="true" outlineLevel="0" collapsed="false">
      <c r="A34" s="36" t="s">
        <v>214</v>
      </c>
      <c r="B34" s="88" t="n">
        <f aca="false">IF(C26&gt;0,B8/C26,99)</f>
        <v>3.15697007718798</v>
      </c>
      <c r="C34" s="86" t="s">
        <v>215</v>
      </c>
      <c r="D34" s="86"/>
      <c r="E34" s="86"/>
      <c r="F34" s="86"/>
    </row>
    <row r="35" customFormat="false" ht="18" hidden="false" customHeight="true" outlineLevel="0" collapsed="false">
      <c r="A35" s="33" t="s">
        <v>216</v>
      </c>
      <c r="B35" s="83" t="n">
        <f aca="false">SUM(C26:G26)</f>
        <v>1156846.891788</v>
      </c>
      <c r="C35" s="85" t="s">
        <v>217</v>
      </c>
      <c r="D35" s="85"/>
      <c r="E35" s="85"/>
      <c r="F35" s="85"/>
    </row>
    <row r="36" customFormat="false" ht="18" hidden="false" customHeight="true" outlineLevel="0" collapsed="false">
      <c r="A36" s="36" t="s">
        <v>218</v>
      </c>
      <c r="B36" s="83" t="n">
        <f aca="false">NPV(B15,C26,D26,E26,F26,G26)-B8</f>
        <v>517852.120278347</v>
      </c>
      <c r="C36" s="86" t="s">
        <v>219</v>
      </c>
      <c r="D36" s="86"/>
      <c r="E36" s="86"/>
      <c r="F36" s="86"/>
    </row>
    <row r="37" customFormat="false" ht="18" hidden="false" customHeight="true" outlineLevel="0" collapsed="false">
      <c r="A37" s="33" t="s">
        <v>220</v>
      </c>
      <c r="B37" s="89" t="n">
        <f aca="false">IF(B8=0,0,(SUM(C26:G26)+B8)/B8)</f>
        <v>3.57077087064</v>
      </c>
      <c r="C37" s="85" t="s">
        <v>221</v>
      </c>
      <c r="D37" s="85"/>
      <c r="E37" s="85"/>
      <c r="F37" s="85"/>
    </row>
    <row r="38" customFormat="false" ht="18" hidden="false" customHeight="true" outlineLevel="0" collapsed="false">
      <c r="A38" s="15" t="s">
        <v>222</v>
      </c>
      <c r="B38" s="90" t="str">
        <f aca="false">IF(C27&gt;=Dashboard!$B$26,IF(B8/C26&lt;=5,"GO","REVIEW"),"NO-GO")</f>
        <v>NO-GO</v>
      </c>
      <c r="C38" s="86" t="s">
        <v>223</v>
      </c>
      <c r="D38" s="86"/>
      <c r="E38" s="86"/>
      <c r="F38" s="86"/>
    </row>
  </sheetData>
  <mergeCells count="24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A17:F17"/>
    <mergeCell ref="A30:F30"/>
    <mergeCell ref="C31:F31"/>
    <mergeCell ref="C32:F32"/>
    <mergeCell ref="C33:F33"/>
    <mergeCell ref="C34:F34"/>
    <mergeCell ref="C35:F35"/>
    <mergeCell ref="C36:F36"/>
    <mergeCell ref="C37:F37"/>
    <mergeCell ref="C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6"/>
    <col collapsed="false" customWidth="true" hidden="false" outlineLevel="0" max="6" min="6" style="1" width="14"/>
  </cols>
  <sheetData>
    <row r="1" customFormat="false" ht="27.75" hidden="false" customHeight="true" outlineLevel="0" collapsed="false">
      <c r="A1" s="41" t="s">
        <v>224</v>
      </c>
      <c r="B1" s="41"/>
      <c r="C1" s="41"/>
      <c r="D1" s="41"/>
      <c r="E1" s="41"/>
      <c r="F1" s="41"/>
    </row>
    <row r="2" customFormat="false" ht="15" hidden="false" customHeight="true" outlineLevel="0" collapsed="false">
      <c r="A2" s="3" t="s">
        <v>225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18" hidden="false" customHeight="true" outlineLevel="0" collapsed="false">
      <c r="A4" s="4" t="s">
        <v>226</v>
      </c>
      <c r="B4" s="4"/>
      <c r="C4" s="4"/>
      <c r="D4" s="4"/>
      <c r="E4" s="4"/>
      <c r="F4" s="4"/>
    </row>
    <row r="5" customFormat="false" ht="16.5" hidden="false" customHeight="true" outlineLevel="0" collapsed="false">
      <c r="A5" s="91" t="s">
        <v>227</v>
      </c>
      <c r="B5" s="92" t="s">
        <v>228</v>
      </c>
      <c r="C5" s="93" t="s">
        <v>229</v>
      </c>
      <c r="D5" s="94" t="s">
        <v>230</v>
      </c>
      <c r="E5" s="9" t="s">
        <v>124</v>
      </c>
    </row>
    <row r="6" customFormat="false" ht="16.5" hidden="false" customHeight="true" outlineLevel="0" collapsed="false">
      <c r="A6" s="33" t="s">
        <v>231</v>
      </c>
      <c r="B6" s="34" t="n">
        <v>0.05</v>
      </c>
      <c r="C6" s="34" t="n">
        <v>0.08</v>
      </c>
      <c r="D6" s="34" t="n">
        <v>0.02</v>
      </c>
      <c r="E6" s="35" t="s">
        <v>232</v>
      </c>
      <c r="F6" s="35"/>
    </row>
    <row r="7" customFormat="false" ht="16.5" hidden="false" customHeight="true" outlineLevel="0" collapsed="false">
      <c r="A7" s="36" t="s">
        <v>233</v>
      </c>
      <c r="B7" s="34" t="n">
        <v>0.03</v>
      </c>
      <c r="C7" s="34" t="n">
        <v>0.05</v>
      </c>
      <c r="D7" s="34" t="n">
        <v>0.01</v>
      </c>
      <c r="E7" s="37" t="s">
        <v>234</v>
      </c>
      <c r="F7" s="37"/>
    </row>
    <row r="8" customFormat="false" ht="16.5" hidden="false" customHeight="true" outlineLevel="0" collapsed="false">
      <c r="A8" s="33" t="s">
        <v>235</v>
      </c>
      <c r="B8" s="34" t="n">
        <v>0.08</v>
      </c>
      <c r="C8" s="34" t="n">
        <v>0.12</v>
      </c>
      <c r="D8" s="34" t="n">
        <v>0.03</v>
      </c>
      <c r="E8" s="35" t="s">
        <v>236</v>
      </c>
      <c r="F8" s="35"/>
    </row>
    <row r="9" customFormat="false" ht="16.5" hidden="false" customHeight="true" outlineLevel="0" collapsed="false">
      <c r="A9" s="36" t="s">
        <v>237</v>
      </c>
      <c r="B9" s="34" t="n">
        <v>0.3</v>
      </c>
      <c r="C9" s="34" t="n">
        <v>0.285</v>
      </c>
      <c r="D9" s="34" t="n">
        <v>0.32</v>
      </c>
      <c r="E9" s="37" t="s">
        <v>238</v>
      </c>
      <c r="F9" s="37"/>
    </row>
    <row r="10" customFormat="false" ht="16.5" hidden="false" customHeight="true" outlineLevel="0" collapsed="false">
      <c r="A10" s="33" t="s">
        <v>239</v>
      </c>
      <c r="B10" s="34" t="n">
        <v>0.22</v>
      </c>
      <c r="C10" s="34" t="n">
        <v>0.21</v>
      </c>
      <c r="D10" s="34" t="n">
        <v>0.24</v>
      </c>
      <c r="E10" s="35" t="s">
        <v>240</v>
      </c>
      <c r="F10" s="35"/>
    </row>
    <row r="11" customFormat="false" ht="16.5" hidden="false" customHeight="true" outlineLevel="0" collapsed="false">
      <c r="A11" s="36" t="s">
        <v>241</v>
      </c>
      <c r="B11" s="34" t="n">
        <v>0.03</v>
      </c>
      <c r="C11" s="34" t="n">
        <v>0.02</v>
      </c>
      <c r="D11" s="34" t="n">
        <v>0.045</v>
      </c>
      <c r="E11" s="37" t="s">
        <v>242</v>
      </c>
      <c r="F11" s="37"/>
    </row>
    <row r="12" customFormat="false" ht="16.5" hidden="false" customHeight="true" outlineLevel="0" collapsed="false">
      <c r="A12" s="33" t="s">
        <v>243</v>
      </c>
      <c r="B12" s="34" t="n">
        <v>0.03</v>
      </c>
      <c r="C12" s="34" t="n">
        <v>0.02</v>
      </c>
      <c r="D12" s="34" t="n">
        <v>0.06</v>
      </c>
      <c r="E12" s="35" t="s">
        <v>244</v>
      </c>
      <c r="F12" s="35"/>
    </row>
    <row r="13" customFormat="false" ht="16.5" hidden="false" customHeight="true" outlineLevel="0" collapsed="false">
      <c r="A13" s="36" t="s">
        <v>245</v>
      </c>
      <c r="B13" s="34" t="n">
        <v>0.04</v>
      </c>
      <c r="C13" s="34" t="n">
        <v>0.035</v>
      </c>
      <c r="D13" s="34" t="n">
        <v>0.045</v>
      </c>
      <c r="E13" s="37" t="s">
        <v>246</v>
      </c>
      <c r="F13" s="37"/>
    </row>
    <row r="14" customFormat="false" ht="16.5" hidden="false" customHeight="true" outlineLevel="0" collapsed="false">
      <c r="A14" s="33" t="s">
        <v>247</v>
      </c>
      <c r="B14" s="95" t="n">
        <v>1</v>
      </c>
      <c r="C14" s="95" t="n">
        <v>2</v>
      </c>
      <c r="D14" s="95" t="n">
        <v>0</v>
      </c>
      <c r="E14" s="35" t="s">
        <v>248</v>
      </c>
      <c r="F14" s="35"/>
    </row>
    <row r="15" customFormat="false" ht="7.5" hidden="false" customHeight="true" outlineLevel="0" collapsed="false"/>
    <row r="16" customFormat="false" ht="18" hidden="false" customHeight="true" outlineLevel="0" collapsed="false">
      <c r="A16" s="4" t="s">
        <v>249</v>
      </c>
      <c r="B16" s="4"/>
      <c r="C16" s="4"/>
      <c r="D16" s="4"/>
      <c r="E16" s="4"/>
      <c r="F16" s="4"/>
    </row>
    <row r="17" customFormat="false" ht="16.5" hidden="false" customHeight="true" outlineLevel="0" collapsed="false">
      <c r="A17" s="91" t="s">
        <v>250</v>
      </c>
      <c r="B17" s="92" t="s">
        <v>251</v>
      </c>
      <c r="C17" s="93" t="s">
        <v>252</v>
      </c>
      <c r="D17" s="94" t="s">
        <v>253</v>
      </c>
      <c r="E17" s="92" t="s">
        <v>254</v>
      </c>
      <c r="F17" s="94" t="s">
        <v>255</v>
      </c>
    </row>
    <row r="18" customFormat="false" ht="16.5" hidden="false" customHeight="true" outlineLevel="0" collapsed="false">
      <c r="A18" s="96" t="s">
        <v>49</v>
      </c>
      <c r="B18" s="97" t="n">
        <f aca="false">8000000</f>
        <v>8000000</v>
      </c>
      <c r="C18" s="98" t="n">
        <f aca="false">8000000</f>
        <v>8000000</v>
      </c>
      <c r="D18" s="99" t="n">
        <f aca="false">8000000</f>
        <v>8000000</v>
      </c>
      <c r="E18" s="97" t="n">
        <f aca="false">B18*(1-$B$9-$B$10-0.12-0.02-$B$13)</f>
        <v>2400000</v>
      </c>
      <c r="F18" s="99" t="n">
        <f aca="false">D18*(1-$D$9-$D$10-0.14-0.025-$D$13)</f>
        <v>1840000</v>
      </c>
    </row>
    <row r="19" customFormat="false" ht="16.5" hidden="false" customHeight="true" outlineLevel="0" collapsed="false">
      <c r="A19" s="100" t="s">
        <v>50</v>
      </c>
      <c r="B19" s="97" t="n">
        <f aca="false">B18*(1+(0.36*$B$6+0.27675*$B$7+0.363*$B$8))</f>
        <v>8442740</v>
      </c>
      <c r="C19" s="98" t="n">
        <f aca="false">C18*(1+(0.36*$C$6+0.27675*$C$7+0.363*$C$8))</f>
        <v>8689580</v>
      </c>
      <c r="D19" s="99" t="n">
        <f aca="false">D18*(1+(0.36*$D$6+0.27675*$D$7+0.363*$D$8))</f>
        <v>8166860</v>
      </c>
      <c r="E19" s="97" t="n">
        <f aca="false">B19*(1-$B$9-$B$10-0.12-0.02-$B$13)</f>
        <v>2532822</v>
      </c>
      <c r="F19" s="99" t="n">
        <f aca="false">D19*(1-$D$9-$D$10-0.14-0.025-$D$13)</f>
        <v>1878377.8</v>
      </c>
    </row>
    <row r="20" customFormat="false" ht="16.5" hidden="false" customHeight="true" outlineLevel="0" collapsed="false">
      <c r="A20" s="96" t="s">
        <v>51</v>
      </c>
      <c r="B20" s="97" t="n">
        <f aca="false">B19*(1+(0.36*$B$6+0.27675*$B$7+0.363*$B$8))</f>
        <v>8909982.33845</v>
      </c>
      <c r="C20" s="98" t="n">
        <f aca="false">C19*(1+(0.36*$C$6+0.27675*$C$7+0.363*$C$8))</f>
        <v>9438600.07205</v>
      </c>
      <c r="D20" s="99" t="n">
        <f aca="false">D19*(1+(0.36*$D$6+0.27675*$D$7+0.363*$D$8))</f>
        <v>8337200.28245</v>
      </c>
      <c r="E20" s="97" t="n">
        <f aca="false">B20*(1-$B$9-$B$10-0.12-0.02-$B$13)</f>
        <v>2672994.701535</v>
      </c>
      <c r="F20" s="99" t="n">
        <f aca="false">D20*(1-$D$9-$D$10-0.14-0.025-$D$13)</f>
        <v>1917556.0649635</v>
      </c>
    </row>
    <row r="21" customFormat="false" ht="16.5" hidden="false" customHeight="true" outlineLevel="0" collapsed="false">
      <c r="A21" s="100" t="s">
        <v>52</v>
      </c>
      <c r="B21" s="97" t="n">
        <f aca="false">B20*(1+(0.36*$B$6+0.27675*$B$7+0.363*$B$8))</f>
        <v>9403083.03601567</v>
      </c>
      <c r="C21" s="98" t="n">
        <f aca="false">C20*(1+(0.36*$C$6+0.27675*$C$7+0.363*$C$8))</f>
        <v>10252183.8017605</v>
      </c>
      <c r="D21" s="99" t="n">
        <f aca="false">D20*(1+(0.36*$D$6+0.27675*$D$7+0.363*$D$8))</f>
        <v>8511093.4373412</v>
      </c>
      <c r="E21" s="97" t="n">
        <f aca="false">B21*(1-$B$9-$B$10-0.12-0.02-$B$13)</f>
        <v>2820924.9108047</v>
      </c>
      <c r="F21" s="99" t="n">
        <f aca="false">D21*(1-$D$9-$D$10-0.14-0.025-$D$13)</f>
        <v>1957551.49058848</v>
      </c>
    </row>
    <row r="22" customFormat="false" ht="16.5" hidden="false" customHeight="true" outlineLevel="0" collapsed="false">
      <c r="A22" s="96" t="s">
        <v>53</v>
      </c>
      <c r="B22" s="97" t="n">
        <f aca="false">B21*(1+(0.36*$B$6+0.27675*$B$7+0.363*$B$8))</f>
        <v>9923473.15893637</v>
      </c>
      <c r="C22" s="98" t="n">
        <f aca="false">C21*(1+(0.36*$C$6+0.27675*$C$7+0.363*$C$8))</f>
        <v>11135896.4150128</v>
      </c>
      <c r="D22" s="99" t="n">
        <f aca="false">D21*(1+(0.36*$D$6+0.27675*$D$7+0.363*$D$8))</f>
        <v>8688613.56871054</v>
      </c>
      <c r="E22" s="97" t="n">
        <f aca="false">B22*(1-$B$9-$B$10-0.12-0.02-$B$13)</f>
        <v>2977041.94768091</v>
      </c>
      <c r="F22" s="99" t="n">
        <f aca="false">D22*(1-$D$9-$D$10-0.14-0.025-$D$13)</f>
        <v>1998381.12080342</v>
      </c>
    </row>
    <row r="23" customFormat="false" ht="7.5" hidden="false" customHeight="true" outlineLevel="0" collapsed="false"/>
    <row r="24" customFormat="false" ht="18" hidden="false" customHeight="true" outlineLevel="0" collapsed="false">
      <c r="A24" s="4" t="s">
        <v>256</v>
      </c>
      <c r="B24" s="4"/>
      <c r="C24" s="4"/>
      <c r="D24" s="4"/>
      <c r="E24" s="4"/>
      <c r="F24" s="4"/>
    </row>
    <row r="25" customFormat="false" ht="16.5" hidden="false" customHeight="true" outlineLevel="0" collapsed="false">
      <c r="A25" s="5" t="s">
        <v>257</v>
      </c>
      <c r="B25" s="9" t="s">
        <v>258</v>
      </c>
      <c r="C25" s="9" t="s">
        <v>259</v>
      </c>
      <c r="D25" s="9" t="s">
        <v>260</v>
      </c>
      <c r="E25" s="9" t="s">
        <v>261</v>
      </c>
      <c r="F25" s="9" t="s">
        <v>262</v>
      </c>
    </row>
    <row r="26" customFormat="false" ht="16.5" hidden="false" customHeight="true" outlineLevel="0" collapsed="false">
      <c r="A26" s="10" t="s">
        <v>263</v>
      </c>
      <c r="B26" s="101" t="s">
        <v>264</v>
      </c>
      <c r="C26" s="102" t="s">
        <v>265</v>
      </c>
      <c r="D26" s="103" t="s">
        <v>266</v>
      </c>
      <c r="E26" s="78" t="s">
        <v>267</v>
      </c>
      <c r="F26" s="104" t="s">
        <v>268</v>
      </c>
    </row>
    <row r="27" customFormat="false" ht="16.5" hidden="false" customHeight="true" outlineLevel="0" collapsed="false">
      <c r="A27" s="15" t="s">
        <v>269</v>
      </c>
      <c r="B27" s="105" t="s">
        <v>270</v>
      </c>
      <c r="C27" s="102" t="s">
        <v>271</v>
      </c>
      <c r="D27" s="106" t="s">
        <v>266</v>
      </c>
      <c r="E27" s="78" t="s">
        <v>267</v>
      </c>
      <c r="F27" s="107" t="s">
        <v>272</v>
      </c>
    </row>
    <row r="28" customFormat="false" ht="16.5" hidden="false" customHeight="true" outlineLevel="0" collapsed="false">
      <c r="A28" s="10" t="s">
        <v>273</v>
      </c>
      <c r="B28" s="101" t="s">
        <v>274</v>
      </c>
      <c r="C28" s="108" t="s">
        <v>275</v>
      </c>
      <c r="D28" s="103" t="s">
        <v>266</v>
      </c>
      <c r="E28" s="75" t="s">
        <v>276</v>
      </c>
      <c r="F28" s="104" t="s">
        <v>277</v>
      </c>
    </row>
    <row r="29" customFormat="false" ht="16.5" hidden="false" customHeight="true" outlineLevel="0" collapsed="false">
      <c r="A29" s="15" t="s">
        <v>278</v>
      </c>
      <c r="B29" s="105" t="s">
        <v>279</v>
      </c>
      <c r="C29" s="108" t="s">
        <v>280</v>
      </c>
      <c r="D29" s="106" t="s">
        <v>266</v>
      </c>
      <c r="E29" s="75" t="s">
        <v>276</v>
      </c>
      <c r="F29" s="107" t="s">
        <v>281</v>
      </c>
    </row>
    <row r="30" customFormat="false" ht="16.5" hidden="false" customHeight="true" outlineLevel="0" collapsed="false">
      <c r="A30" s="10" t="s">
        <v>282</v>
      </c>
      <c r="B30" s="101" t="s">
        <v>283</v>
      </c>
      <c r="C30" s="109" t="s">
        <v>284</v>
      </c>
      <c r="D30" s="110" t="s">
        <v>285</v>
      </c>
      <c r="E30" s="72" t="s">
        <v>267</v>
      </c>
      <c r="F30" s="104" t="s">
        <v>286</v>
      </c>
    </row>
    <row r="31" customFormat="false" ht="16.5" hidden="false" customHeight="true" outlineLevel="0" collapsed="false">
      <c r="A31" s="15" t="s">
        <v>287</v>
      </c>
      <c r="B31" s="105" t="s">
        <v>288</v>
      </c>
      <c r="C31" s="109" t="s">
        <v>289</v>
      </c>
      <c r="D31" s="111" t="s">
        <v>285</v>
      </c>
      <c r="E31" s="72" t="s">
        <v>267</v>
      </c>
      <c r="F31" s="107" t="s">
        <v>290</v>
      </c>
    </row>
    <row r="32" customFormat="false" ht="16.5" hidden="false" customHeight="true" outlineLevel="0" collapsed="false">
      <c r="A32" s="10" t="s">
        <v>291</v>
      </c>
      <c r="B32" s="101" t="s">
        <v>292</v>
      </c>
      <c r="C32" s="109" t="s">
        <v>293</v>
      </c>
      <c r="D32" s="110" t="s">
        <v>285</v>
      </c>
      <c r="E32" s="72" t="s">
        <v>276</v>
      </c>
      <c r="F32" s="104" t="s">
        <v>294</v>
      </c>
    </row>
  </sheetData>
  <mergeCells count="14">
    <mergeCell ref="A1:F1"/>
    <mergeCell ref="A2:F2"/>
    <mergeCell ref="A4:F4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A16:F16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2026-03-17T19:58:30Z</dcterms:created>
  <dc:creator>openpyxl</dc:creator>
  <dc:description/>
  <dc:language>en-US</dc:language>
  <cp:lastModifiedBy/>
  <dcterms:modified xsi:type="dcterms:W3CDTF">2026-03-17T19:58:58Z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